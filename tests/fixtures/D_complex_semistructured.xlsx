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95b6e49e8949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공정실적_RAW" sheetId="1" r:id="R4c595e07b9f44f55"/>
    <x:sheet xmlns:r="http://schemas.openxmlformats.org/officeDocument/2006/relationships" name="02_품질검사_MIX" sheetId="2" r:id="R6668ebdade07439e"/>
    <x:sheet xmlns:r="http://schemas.openxmlformats.org/officeDocument/2006/relationships" name="03_설비_Energy&amp;Alarm" sheetId="3" r:id="Rd0e862b3a33f4619"/>
    <x:sheet xmlns:r="http://schemas.openxmlformats.org/officeDocument/2006/relationships" name="MASTER_코드표" sheetId="4" r:id="R1e07dfa1ea494b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%"/>
    <x:numFmt numFmtId="201" formatCode="0.00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name val="Carlito"/>
    </x:font>
    <x:font>
      <x:b/>
      <x:sz val="11"/>
      <x:color rgb="FF1F1F1F"/>
      <x:name val="Carlito"/>
    </x:font>
    <x:font>
      <x:b/>
      <x:sz val="9"/>
      <x:color rgb="FF1F1F1F"/>
      <x:name val="Carlito"/>
    </x:font>
    <x:font>
      <x:b/>
      <x:sz val="11"/>
      <x:color rgb="FF17365D"/>
      <x:name val="Carlito"/>
    </x:font>
    <x:font>
      <x:b/>
      <x:sz val="11"/>
      <x:color rgb="FFC00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</x:fills>
  <x:borders count="18">
    <x:border/>
    <x:border/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19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3" fillId="0" borderId="2" xfId="0" applyNumberFormat="1" applyFont="1" applyFill="1" applyBorder="1"/>
    <x:xf numFmtId="0" fontId="3" fillId="0" borderId="5" xfId="0" applyNumberFormat="1" applyFont="1" applyFill="1" applyBorder="1"/>
    <x:xf numFmtId="0" fontId="3" fillId="0" borderId="7" xfId="0" applyNumberFormat="1" applyFont="1" applyFill="1" applyBorder="1"/>
    <x:xf numFmtId="0" fontId="3" fillId="0" borderId="10" xfId="0" applyNumberFormat="1" applyFont="1" applyFill="1" applyBorder="1"/>
    <x:xf numFmtId="0" fontId="3" fillId="0" borderId="13" xfId="0" applyNumberFormat="1" applyFont="1" applyFill="1" applyBorder="1"/>
    <x:xf numFmtId="0" fontId="3" fillId="0" borderId="15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3" fillId="5" borderId="5" xfId="0" applyNumberFormat="1" applyFont="1" applyFill="1" applyBorder="1"/>
    <x:xf numFmtId="0" fontId="0" fillId="5" borderId="0" xfId="0" applyNumberFormat="1" applyFont="1" applyFill="1" applyBorder="1"/>
    <x:xf numFmtId="0" fontId="0" fillId="5" borderId="6" xfId="0" applyNumberFormat="1" applyFont="1" applyFill="1" applyBorder="1"/>
    <x:xf numFmtId="0" fontId="3" fillId="5" borderId="13" xfId="0" applyNumberFormat="1" applyFont="1" applyFill="1" applyBorder="1"/>
    <x:xf numFmtId="0" fontId="0" fillId="5" borderId="1" xfId="0" applyNumberFormat="1" applyFont="1" applyFill="1" applyBorder="1"/>
    <x:xf numFmtId="0" fontId="0" fillId="5" borderId="14" xfId="0" applyNumberFormat="1" applyFont="1" applyFill="1" applyBorder="1"/>
    <x:xf numFmtId="0" fontId="3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3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3" fillId="5" borderId="5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3" fillId="6" borderId="7" xfId="0" applyNumberFormat="1" applyFont="1" applyFill="1" applyBorder="1" applyAlignment="1">
      <x:alignment wrapText="1"/>
    </x:xf>
    <x:xf numFmtId="0" fontId="0" fillId="6" borderId="8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wrapText="1"/>
    </x:xf>
    <x:xf numFmtId="0" fontId="0" fillId="4" borderId="11" xfId="0" applyNumberFormat="1" applyFont="1" applyFill="1" applyBorder="1" applyAlignment="1">
      <x:alignment wrapText="1"/>
    </x:xf>
    <x:xf numFmtId="0" fontId="0" fillId="4" borderId="12" xfId="0" applyNumberFormat="1" applyFont="1" applyFill="1" applyBorder="1" applyAlignment="1">
      <x:alignment wrapText="1"/>
    </x:xf>
    <x:xf numFmtId="0" fontId="3" fillId="5" borderId="13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3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horizont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horizont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7" borderId="6" xfId="0" applyNumberFormat="1" applyFont="1" applyFill="1" applyBorder="1" applyAlignment="1">
      <x:alignment horizontal="center" vertical="center" wrapText="1"/>
    </x:xf>
    <x:xf numFmtId="0" fontId="5" fillId="8" borderId="5" xfId="0" applyNumberFormat="1" applyFont="1" applyFill="1" applyBorder="1" applyAlignment="1">
      <x:alignment horizontal="center" vertical="center" wrapText="1"/>
    </x:xf>
    <x:xf numFmtId="0" fontId="5" fillId="8" borderId="6" xfId="0" applyNumberFormat="1" applyFont="1" applyFill="1" applyBorder="1" applyAlignment="1">
      <x:alignment horizontal="center" vertical="center" wrapText="1"/>
    </x:xf>
    <x:xf numFmtId="0" fontId="4" fillId="7" borderId="13" xfId="0" applyNumberFormat="1" applyFont="1" applyFill="1" applyBorder="1" applyAlignment="1">
      <x:alignment horizontal="center" vertical="center" wrapText="1"/>
    </x:xf>
    <x:xf numFmtId="0" fontId="4" fillId="7" borderId="14" xfId="0" applyNumberFormat="1" applyFont="1" applyFill="1" applyBorder="1" applyAlignment="1">
      <x:alignment horizontal="center" vertical="center" wrapText="1"/>
    </x:xf>
    <x:xf numFmtId="0" fontId="5" fillId="8" borderId="13" xfId="0" applyNumberFormat="1" applyFont="1" applyFill="1" applyBorder="1" applyAlignment="1">
      <x:alignment horizontal="center" vertical="center" wrapText="1"/>
    </x:xf>
    <x:xf numFmtId="0" fontId="5" fillId="8" borderId="14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8" xfId="0" applyNumberFormat="1" applyFont="1" applyFill="1" applyBorder="1"/>
    <x:xf numFmtId="0" fontId="0" fillId="9" borderId="1" xfId="0" applyNumberFormat="1" applyFont="1" applyFill="1" applyBorder="1"/>
    <x:xf numFmtId="0" fontId="0" fillId="9" borderId="16" xfId="0" applyNumberFormat="1" applyFont="1" applyFill="1" applyBorder="1"/>
    <x:xf numFmtId="0" fontId="0" fillId="5" borderId="8" xfId="0" applyNumberFormat="1" applyFont="1" applyFill="1" applyBorder="1"/>
    <x:xf numFmtId="0" fontId="0" fillId="5" borderId="16" xfId="0" applyNumberFormat="1" applyFont="1" applyFill="1" applyBorder="1"/>
    <x:xf numFmtId="0" fontId="0" fillId="10" borderId="0" xfId="0" applyNumberFormat="1" applyFont="1" applyFill="1" applyBorder="1"/>
    <x:xf numFmtId="0" fontId="0" fillId="10" borderId="8" xfId="0" applyNumberFormat="1" applyFont="1" applyFill="1" applyBorder="1"/>
    <x:xf numFmtId="0" fontId="0" fillId="10" borderId="1" xfId="0" applyNumberFormat="1" applyFont="1" applyFill="1" applyBorder="1"/>
    <x:xf numFmtId="0" fontId="0" fillId="10" borderId="16" xfId="0" applyNumberFormat="1" applyFont="1" applyFill="1" applyBorder="1"/>
    <x:xf numFmtId="0" fontId="0" fillId="4" borderId="0" xfId="0" applyNumberFormat="1" applyFont="1" applyFill="1" applyBorder="1"/>
    <x:xf numFmtId="0" fontId="0" fillId="4" borderId="6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" xfId="0" applyNumberFormat="1" applyFont="1" applyFill="1" applyBorder="1"/>
    <x:xf numFmtId="0" fontId="0" fillId="4" borderId="14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  <x:xf numFmtId="0" fontId="0" fillId="9" borderId="8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10" borderId="8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wrapText="1"/>
    </x:xf>
    <x:xf numFmtId="0" fontId="0" fillId="10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14" xfId="0" applyNumberFormat="1" applyFont="1" applyFill="1" applyBorder="1" applyAlignment="1">
      <x:alignment wrapText="1"/>
    </x:xf>
    <x:xf numFmtId="0" fontId="0" fillId="9" borderId="16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10" borderId="16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200" fontId="0" fillId="10" borderId="0" xfId="0" applyNumberFormat="1" applyFont="1" applyFill="1" applyBorder="1" applyAlignment="1">
      <x:alignment wrapText="1"/>
    </x:xf>
    <x:xf numFmtId="200" fontId="0" fillId="10" borderId="8" xfId="0" applyNumberFormat="1" applyFont="1" applyFill="1" applyBorder="1" applyAlignment="1">
      <x:alignment wrapText="1"/>
    </x:xf>
    <x:xf numFmtId="200" fontId="0" fillId="10" borderId="1" xfId="0" applyNumberFormat="1" applyFont="1" applyFill="1" applyBorder="1" applyAlignment="1">
      <x:alignment wrapText="1"/>
    </x:xf>
    <x:xf numFmtId="200" fontId="0" fillId="10" borderId="16" xfId="0" applyNumberFormat="1" applyFont="1" applyFill="1" applyBorder="1" applyAlignment="1">
      <x:alignment wrapText="1"/>
    </x:xf>
    <x:xf numFmtId="201" fontId="0" fillId="10" borderId="0" xfId="0" applyNumberFormat="1" applyFont="1" applyFill="1" applyBorder="1" applyAlignment="1">
      <x:alignment wrapText="1"/>
    </x:xf>
    <x:xf numFmtId="201" fontId="0" fillId="10" borderId="8" xfId="0" applyNumberFormat="1" applyFont="1" applyFill="1" applyBorder="1" applyAlignment="1">
      <x:alignment wrapText="1"/>
    </x:xf>
    <x:xf numFmtId="201" fontId="0" fillId="10" borderId="1" xfId="0" applyNumberFormat="1" applyFont="1" applyFill="1" applyBorder="1" applyAlignment="1">
      <x:alignment wrapText="1"/>
    </x:xf>
    <x:xf numFmtId="201" fontId="0" fillId="10" borderId="16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1" borderId="1" xfId="0" applyNumberFormat="1" applyFont="1" applyFill="1" applyBorder="1"/>
    <x:xf numFmtId="0" fontId="6" fillId="11" borderId="1" xfId="0" applyNumberFormat="1" applyFont="1" applyFill="1" applyBorder="1"/>
    <x:xf numFmtId="0" fontId="6" fillId="11" borderId="1" xfId="0" applyNumberFormat="1" applyFont="1" applyFill="1" applyBorder="1" applyAlignment="1">
      <x:alignment horizontal="center"/>
    </x:xf>
    <x:xf numFmtId="0" fontId="6" fillId="11" borderId="1" xfId="0" applyNumberFormat="1" applyFont="1" applyFill="1" applyBorder="1" applyAlignment="1">
      <x:alignment horizontal="center" vertical="center"/>
    </x:xf>
    <x:xf numFmtId="0" fontId="7" fillId="9" borderId="0" xfId="0" applyNumberFormat="1" applyFont="1" applyFill="1" applyBorder="1"/>
    <x:xf numFmtId="0" fontId="7" fillId="9" borderId="8" xfId="0" applyNumberFormat="1" applyFont="1" applyFill="1" applyBorder="1"/>
    <x:xf numFmtId="0" fontId="7" fillId="9" borderId="1" xfId="0" applyNumberFormat="1" applyFont="1" applyFill="1" applyBorder="1"/>
    <x:xf numFmtId="0" fontId="7" fillId="9" borderId="16" xfId="0" applyNumberFormat="1" applyFont="1" applyFill="1" applyBorder="1"/>
    <x:xf numFmtId="0" fontId="0" fillId="12" borderId="8" xfId="0" applyNumberFormat="1" applyFont="1" applyFill="1" applyBorder="1"/>
    <x:xf numFmtId="0" fontId="0" fillId="12" borderId="16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9" borderId="0" xfId="0" applyNumberFormat="1" applyFont="1" applyFill="1" applyBorder="1" applyAlignment="1">
      <x:alignment wrapText="1"/>
    </x:xf>
    <x:xf numFmtId="0" fontId="7" fillId="9" borderId="8" xfId="0" applyNumberFormat="1" applyFont="1" applyFill="1" applyBorder="1" applyAlignment="1">
      <x:alignment wrapText="1"/>
    </x:xf>
    <x:xf numFmtId="0" fontId="0" fillId="12" borderId="8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6" fillId="11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wrapText="1"/>
    </x:xf>
    <x:xf numFmtId="0" fontId="7" fillId="9" borderId="16" xfId="0" applyNumberFormat="1" applyFont="1" applyFill="1" applyBorder="1" applyAlignment="1">
      <x:alignment wrapText="1"/>
    </x:xf>
    <x:xf numFmtId="0" fontId="0" fillId="12" borderId="16" xfId="0" applyNumberFormat="1" applyFont="1" applyFill="1" applyBorder="1" applyAlignment="1">
      <x:alignment wrapText="1"/>
    </x:xf>
    <x:xf numFmtId="0" fontId="0" fillId="10" borderId="6" xfId="0" applyNumberFormat="1" applyFont="1" applyFill="1" applyBorder="1"/>
    <x:xf numFmtId="0" fontId="0" fillId="10" borderId="9" xfId="0" applyNumberFormat="1" applyFont="1" applyFill="1" applyBorder="1"/>
    <x:xf numFmtId="0" fontId="0" fillId="10" borderId="14" xfId="0" applyNumberFormat="1" applyFont="1" applyFill="1" applyBorder="1"/>
    <x:xf numFmtId="0" fontId="0" fillId="10" borderId="17" xfId="0" applyNumberFormat="1" applyFont="1" applyFill="1" applyBorder="1"/>
    <x:xf numFmtId="0" fontId="0" fillId="10" borderId="6" xfId="0" applyNumberFormat="1" applyFont="1" applyFill="1" applyBorder="1" applyAlignment="1">
      <x:alignment wrapText="1"/>
    </x:xf>
    <x:xf numFmtId="0" fontId="0" fillId="10" borderId="9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C00000"/>
      </x:font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C65911"/>
      </x:font>
      <x:fill>
        <x:patternFill patternType="solid"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aa6f68576e44c5" /><Relationship Type="http://schemas.openxmlformats.org/officeDocument/2006/relationships/theme" Target="/xl/theme/theme1.xml" Id="R2a44ea47cced4881" /><Relationship Type="http://schemas.openxmlformats.org/officeDocument/2006/relationships/sharedStrings" Target="/xl/sharedStrings.xml" Id="Ra2eb7ff6000243b0" /><Relationship Type="http://schemas.openxmlformats.org/officeDocument/2006/relationships/worksheet" Target="/xl/worksheets/sheet1.xml" Id="R4c595e07b9f44f55" /><Relationship Type="http://schemas.openxmlformats.org/officeDocument/2006/relationships/worksheet" Target="/xl/worksheets/sheet2.xml" Id="R6668ebdade07439e" /><Relationship Type="http://schemas.openxmlformats.org/officeDocument/2006/relationships/worksheet" Target="/xl/worksheets/sheet3.xml" Id="Rd0e862b3a33f4619" /><Relationship Type="http://schemas.openxmlformats.org/officeDocument/2006/relationships/worksheet" Target="/xl/worksheets/sheet4.xml" Id="R1e07dfa1ea494b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2109a7b2094fc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aa71c0e3f93415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.png" Id="Rf8f85af9d2fc455d" /><Relationship Type="http://schemas.openxmlformats.org/officeDocument/2006/relationships/chart" Target="/xl/drawings/charts/chart3.xml" Id="R8a46a06d1160491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반응기별 온도 PV / Viscosity 추이</a:t>
            </a:r>
          </a:p>
        </c:rich>
      </c:tx>
    </c:title>
    <c:plotArea>
      <c:lineChart>
        <c:grouping val="standard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Temp PV</c:v>
          </c:tx>
          <c:marker>
            <c:symbol val="none"/>
          </c:marker>
          <c:cat>
            <c:strRef>
              <c:f>'01_공정실적_RAW'!$A$11:$A$20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'01_공정실적_RAW'!$G$11:$G$20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Viscosity</c:v>
          </c:tx>
          <c:marker>
            <c:symbol val="none"/>
          </c:marker>
          <c:cat>
            <c:strRef>
              <c:f>'01_공정실적_RAW'!$A$11:$A$20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'01_공정실적_RAW'!$M$11:$M$20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LOT별 Viscosity / NG Qty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Viscosity</c:v>
          </c:tx>
          <c:cat>
            <c:strRef>
              <c:f>'02_품질검사_MIX'!$A$8:$A$17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'02_품질검사_MIX'!$E$8:$E$17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NG Qty</c:v>
          </c:tx>
          <c:cat>
            <c:strRef>
              <c:f>'02_품질검사_MIX'!$A$8:$A$17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'02_품질검사_MIX'!$G$8:$G$17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설비별 Energy Usage (kWh)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Usage kWh</c:v>
          </c:tx>
          <c:cat>
            <c:strRef>
              <c:f>'03_설비_Energy&amp;Alarm'!$A$6:$A$12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'03_설비_Energy&amp;Alarm'!$E$6:$E$12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31</xdr:col>
      <xdr:colOff>0</xdr:colOff>
      <xdr:row>7</xdr:row>
      <xdr:rowOff>0</xdr:rowOff>
    </xdr:from>
    <xdr:to>
      <xdr:col>40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2109a7b2094fc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13</xdr:row>
      <xdr:rowOff>0</xdr:rowOff>
    </xdr:from>
    <xdr:to>
      <xdr:col>17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a71c0e3f93415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10</xdr:col>
      <xdr:colOff>0</xdr:colOff>
      <xdr:row>13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46a06d1160491d"/>
        </a:graphicData>
      </a:graphic>
    </xdr:graphicFrame>
    <xdr:clientData/>
  </xdr:twoCellAnchor>
  <xdr:oneCellAnchor>
    <xdr:from>
      <xdr:col>9</xdr:col>
      <xdr:colOff>0</xdr:colOff>
      <xdr:row>2</xdr:row>
      <xdr:rowOff>0</xdr:rowOff>
    </xdr:from>
    <xdr:ext cx="4000500" cy="1714500"/>
    <xdr:pic>
      <xdr:nvPicPr>
        <xdr:cNvPr id="2" name="bf7409da-596f-40f5-82ee-1d5a01e8742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f85af9d2fc45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f0a83ebf4a49c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1d333699e3f345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db0948948e034517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1" hidden="0" customWidth="1"/>
    <x:col min="3" max="3" width="10" hidden="0" customWidth="1"/>
    <x:col min="4" max="4" width="20" hidden="0" customWidth="1"/>
    <x:col min="5" max="5" width="12" hidden="0" customWidth="1"/>
    <x:col min="6" max="6" width="14" hidden="0" customWidth="1"/>
    <x:col min="7" max="7" width="11" hidden="0" customWidth="1"/>
    <x:col min="8" max="8" width="11" hidden="0" customWidth="1"/>
    <x:col min="9" max="9" width="12" hidden="0" customWidth="1"/>
    <x:col min="10" max="10" width="12" hidden="0" customWidth="1"/>
    <x:col min="11" max="11" width="12" hidden="0" customWidth="1"/>
    <x:col min="12" max="12" width="11" hidden="0" customWidth="1"/>
    <x:col min="13" max="13" width="13" hidden="0" customWidth="1"/>
    <x:col min="14" max="14" width="11" hidden="0" customWidth="1"/>
    <x:col min="15" max="15" width="12" hidden="0" customWidth="1"/>
    <x:col min="16" max="16" width="11" hidden="0" customWidth="1"/>
    <x:col min="17" max="17" width="9" hidden="0" customWidth="1"/>
    <x:col min="18" max="18" width="11" hidden="0" customWidth="1"/>
    <x:col min="19" max="19" width="11" hidden="0" customWidth="1"/>
    <x:col min="20" max="20" width="11" hidden="0" customWidth="1"/>
    <x:col min="21" max="21" width="10" hidden="0" customWidth="1"/>
    <x:col min="22" max="22" width="10" hidden="0" customWidth="1"/>
    <x:col min="23" max="23" width="10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</x:cols>
  <x:sheetData>
    <x:row r="1" ht="28" customHeight="1">
      <x:c r="A1" s="44" t="str">
        <x:v>반응/혼합 공정 운전실적 — PROD-REACTOR Daily Log v3.7 (현장수기+PLC+계산 혼재)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  <x:c r="W1" s="44"/>
      <x:c r="X1" s="44"/>
      <x:c r="Y1" s="44"/>
      <x:c r="Z1" s="44"/>
      <x:c r="AA1" s="44"/>
      <x:c r="AB1" s="44"/>
      <x:c r="AC1" s="44"/>
      <x:c r="AD1" s="44"/>
    </x:row>
    <x:row r="2" ht="28" customHeight="1">
      <x:c r="A2" s="44"/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  <x:c r="Q2" s="44"/>
      <x:c r="R2" s="44"/>
      <x:c r="S2" s="44"/>
      <x:c r="T2" s="44"/>
      <x:c r="U2" s="44"/>
      <x:c r="V2" s="44"/>
      <x:c r="W2" s="44"/>
      <x:c r="X2" s="44"/>
      <x:c r="Y2" s="44"/>
      <x:c r="Z2" s="44"/>
      <x:c r="AA2" s="44"/>
      <x:c r="AB2" s="44"/>
      <x:c r="AC2" s="44"/>
      <x:c r="AD2" s="44"/>
    </x:row>
    <x:row r="4">
      <x:c r="A4" s="79" t="str">
        <x:v>문서번호</x:v>
      </x:c>
      <x:c r="B4" s="80" t="str">
        <x:v>PRD-RX-017</x:v>
      </x:c>
      <x:c r="C4" s="80" t="str">
        <x:v>작성부서</x:v>
      </x:c>
      <x:c r="D4" s="80" t="str">
        <x:v>제조2팀</x:v>
      </x:c>
      <x:c r="E4" s="80" t="str">
        <x:v>작성일</x:v>
      </x:c>
      <x:c r="F4" s="80" t="str">
        <x:v>2026-08-20</x:v>
      </x:c>
      <x:c r="G4" s="80" t="str">
        <x:v>Rev.</x:v>
      </x:c>
      <x:c r="H4" s="81" t="str">
        <x:v>3.7</x:v>
      </x:c>
    </x:row>
    <x:row r="5">
      <x:c r="A5" s="82" t="str">
        <x:v>공정명</x:v>
      </x:c>
      <x:c r="B5" s="83" t="str">
        <x:v>RX-02 중합/혼합</x:v>
      </x:c>
      <x:c r="C5" s="83" t="str">
        <x:v>Shift</x:v>
      </x:c>
      <x:c r="D5" s="83" t="str">
        <x:v>A/B/C</x:v>
      </x:c>
      <x:c r="E5" s="83" t="str">
        <x:v>기준 Recipe</x:v>
      </x:c>
      <x:c r="F5" s="83" t="str">
        <x:v>RCP-44A</x:v>
      </x:c>
      <x:c r="G5" s="83" t="str">
        <x:v>단위기준</x:v>
      </x:c>
      <x:c r="H5" s="84" t="str">
        <x:v>SI + 현장단위</x:v>
      </x:c>
    </x:row>
    <x:row r="6">
      <x:c r="A6" s="85" t="str">
        <x:v>주의</x:v>
      </x:c>
      <x:c r="B6" s="86" t="str">
        <x:v>노란색=수기입력 / 파란색=PLC / 회색=참조 / 빨간글씨=규격이탈</x:v>
      </x:c>
      <x:c r="C6" s="86" t="str"/>
      <x:c r="D6" s="86" t="str"/>
      <x:c r="E6" s="86" t="str"/>
      <x:c r="F6" s="86" t="str"/>
      <x:c r="G6" s="86" t="str"/>
      <x:c r="H6" s="87" t="str"/>
    </x:row>
    <x:row r="8">
      <x:c r="A8" s="12" t="str">
        <x:v>공정
Step</x:v>
      </x:c>
      <x:c r="B8" s="13" t="str">
        <x:v>설비 / Equipment</x:v>
      </x:c>
      <x:c r="C8" s="13"/>
      <x:c r="D8" s="13" t="str">
        <x:v>원료 / Feed</x:v>
      </x:c>
      <x:c r="E8" s="13"/>
      <x:c r="F8" s="13"/>
      <x:c r="G8" s="13" t="str">
        <x:v>운전조건 / Operation Condition</x:v>
      </x:c>
      <x:c r="H8" s="13"/>
      <x:c r="I8" s="13"/>
      <x:c r="J8" s="13"/>
      <x:c r="K8" s="13"/>
      <x:c r="L8" s="13"/>
      <x:c r="M8" s="13" t="str">
        <x:v>품질 / Quality Result</x:v>
      </x:c>
      <x:c r="N8" s="13"/>
      <x:c r="O8" s="13"/>
      <x:c r="P8" s="13"/>
      <x:c r="Q8" s="13"/>
      <x:c r="R8" s="13"/>
      <x:c r="S8" s="13" t="str">
        <x:v>계산/판정 / Calc.</x:v>
      </x:c>
      <x:c r="T8" s="13"/>
      <x:c r="U8" s="13"/>
      <x:c r="V8" s="13"/>
      <x:c r="W8" s="13"/>
      <x:c r="X8" s="13" t="str">
        <x:v>월별 생산량 / Monthly Output (가로 반복 블록)</x:v>
      </x:c>
      <x:c r="Y8" s="13"/>
      <x:c r="Z8" s="13"/>
      <x:c r="AA8" s="13"/>
      <x:c r="AB8" s="13"/>
      <x:c r="AC8" s="13"/>
      <x:c r="AD8" s="14"/>
    </x:row>
    <x:row r="9">
      <x:c r="A9" s="117"/>
      <x:c r="B9" s="101" t="str">
        <x:v>EQP-ID</x:v>
      </x:c>
      <x:c r="C9" s="101" t="str">
        <x:v>Line/호기</x:v>
      </x:c>
      <x:c r="D9" s="101" t="str">
        <x:v>Material</x:v>
      </x:c>
      <x:c r="E9" s="101"/>
      <x:c r="F9" s="101" t="str">
        <x:v>Batch No.</x:v>
      </x:c>
      <x:c r="G9" s="101" t="str">
        <x:v>Temp.</x:v>
      </x:c>
      <x:c r="H9" s="101"/>
      <x:c r="I9" s="101" t="str">
        <x:v>Pressure</x:v>
      </x:c>
      <x:c r="J9" s="101"/>
      <x:c r="K9" s="101" t="str">
        <x:v>Agitator</x:v>
      </x:c>
      <x:c r="L9" s="101"/>
      <x:c r="M9" s="101" t="str">
        <x:v>Viscosity</x:v>
      </x:c>
      <x:c r="N9" s="101"/>
      <x:c r="O9" s="101" t="str">
        <x:v>Solid Content</x:v>
      </x:c>
      <x:c r="P9" s="101"/>
      <x:c r="Q9" s="101" t="str">
        <x:v>Defect</x:v>
      </x:c>
      <x:c r="R9" s="101"/>
      <x:c r="S9" s="101" t="str">
        <x:v>투입량(kg)</x:v>
      </x:c>
      <x:c r="T9" s="101" t="str">
        <x:v>산출량(kg)</x:v>
      </x:c>
      <x:c r="U9" s="101" t="str">
        <x:v>Yield</x:v>
      </x:c>
      <x:c r="V9" s="101" t="str">
        <x:v>Temp Δ</x:v>
      </x:c>
      <x:c r="W9" s="101" t="str">
        <x:v>Status</x:v>
      </x:c>
      <x:c r="X9" s="101" t="str">
        <x:v>Jun-26</x:v>
      </x:c>
      <x:c r="Y9" s="101"/>
      <x:c r="Z9" s="101" t="str">
        <x:v>Jul-26</x:v>
      </x:c>
      <x:c r="AA9" s="101"/>
      <x:c r="AB9" s="101" t="str">
        <x:v>Aug-26</x:v>
      </x:c>
      <x:c r="AC9" s="101"/>
      <x:c r="AD9" s="118" t="str">
        <x:v>누계(t)</x:v>
      </x:c>
    </x:row>
    <x:row r="10">
      <x:c r="A10" s="119"/>
      <x:c r="B10" s="111"/>
      <x:c r="C10" s="111"/>
      <x:c r="D10" s="111" t="str">
        <x:v>원료명(KR)</x:v>
      </x:c>
      <x:c r="E10" s="111" t="str">
        <x:v>Spec.Code</x:v>
      </x:c>
      <x:c r="F10" s="111"/>
      <x:c r="G10" s="111" t="str">
        <x:v>PV (℃)</x:v>
      </x:c>
      <x:c r="H10" s="111" t="str">
        <x:v>SP (°C)</x:v>
      </x:c>
      <x:c r="I10" s="111" t="str">
        <x:v>Gauge(bar)</x:v>
      </x:c>
      <x:c r="J10" s="111" t="str">
        <x:v>Abs(kPa)</x:v>
      </x:c>
      <x:c r="K10" s="111" t="str">
        <x:v>Speed(rpm)</x:v>
      </x:c>
      <x:c r="L10" s="111" t="str">
        <x:v>Motor(%)</x:v>
      </x:c>
      <x:c r="M10" s="111" t="str">
        <x:v>η@25℃(cP)</x:v>
      </x:c>
      <x:c r="N10" s="111" t="str">
        <x:v>Target</x:v>
      </x:c>
      <x:c r="O10" s="111" t="str">
        <x:v>고형분(%)</x:v>
      </x:c>
      <x:c r="P10" s="111" t="str">
        <x:v>Spec(%)</x:v>
      </x:c>
      <x:c r="Q10" s="111" t="str">
        <x:v>NG Qty</x:v>
      </x:c>
      <x:c r="R10" s="111" t="str">
        <x:v>검사판정</x:v>
      </x:c>
      <x:c r="S10" s="111" t="str">
        <x:v>Input</x:v>
      </x:c>
      <x:c r="T10" s="111" t="str">
        <x:v>Output</x:v>
      </x:c>
      <x:c r="U10" s="111" t="str">
        <x:v>%</x:v>
      </x:c>
      <x:c r="V10" s="111" t="str">
        <x:v>PV-SP</x:v>
      </x:c>
      <x:c r="W10" s="111" t="str">
        <x:v>Auto</x:v>
      </x:c>
      <x:c r="X10" s="111" t="str">
        <x:v>Plan(t)</x:v>
      </x:c>
      <x:c r="Y10" s="111" t="str">
        <x:v>Actual(t)</x:v>
      </x:c>
      <x:c r="Z10" s="111" t="str">
        <x:v>Plan(t)</x:v>
      </x:c>
      <x:c r="AA10" s="111" t="str">
        <x:v>Actual(t)</x:v>
      </x:c>
      <x:c r="AB10" s="111" t="str">
        <x:v>Plan(t)</x:v>
      </x:c>
      <x:c r="AC10" s="111" t="str">
        <x:v>Actual(t)</x:v>
      </x:c>
      <x:c r="AD10" s="120"/>
    </x:row>
    <x:row r="11">
      <x:c r="A11" s="29" t="str">
        <x:v>RX-01</x:v>
      </x:c>
      <x:c r="B11" s="30" t="str">
        <x:v>R-201</x:v>
      </x:c>
      <x:c r="C11" s="30" t="str">
        <x:v>L1-A</x:v>
      </x:c>
      <x:c r="D11" s="30" t="str">
        <x:v>수지A/Resin-A</x:v>
      </x:c>
      <x:c r="E11" s="30" t="str">
        <x:v>RM-A12</x:v>
      </x:c>
      <x:c r="F11" s="30" t="str">
        <x:v>BT26821</x:v>
      </x:c>
      <x:c r="G11" s="143" t="n">
        <x:v>75</x:v>
      </x:c>
      <x:c r="H11" s="30" t="n">
        <x:v>78</x:v>
      </x:c>
      <x:c r="I11" s="143" t="n">
        <x:v>1.6</x:v>
      </x:c>
      <x:c r="J11" s="143" t="n">
        <x:v>261.3</x:v>
      </x:c>
      <x:c r="K11" s="143" t="n">
        <x:v>190</x:v>
      </x:c>
      <x:c r="L11" s="143" t="n">
        <x:v>54</x:v>
      </x:c>
      <x:c r="M11" s="83" t="n">
        <x:v>118</x:v>
      </x:c>
      <x:c r="N11" s="83" t="n">
        <x:v>150</x:v>
      </x:c>
      <x:c r="O11" s="83" t="n">
        <x:v>47</x:v>
      </x:c>
      <x:c r="P11" s="83" t="n">
        <x:v>49</x:v>
      </x:c>
      <x:c r="Q11" s="83" t="n">
        <x:v>0</x:v>
      </x:c>
      <x:c r="R11" s="83" t="str">
        <x:v>OK</x:v>
      </x:c>
      <x:c r="S11" s="144" t="n">
        <x:v>4800</x:v>
      </x:c>
      <x:c r="T11" s="144" t="n">
        <x:v>4584</x:v>
      </x:c>
      <x:c r="U11" s="165" t="n">
        <x:f>ROUND(T11/S11*100,2)</x:f>
        <x:v>95.5</x:v>
      </x:c>
      <x:c r="V11" s="144" t="n">
        <x:f>ROUND(G11-H11,1)</x:f>
        <x:v>-3</x:v>
      </x:c>
      <x:c r="W11" s="144" t="str">
        <x:f>IF(AND(U11&gt;=94,ABS(V11)&lt;=5,Q11&lt;=5),"PASS","CHECK")</x:f>
        <x:v>PASS</x:v>
      </x:c>
      <x:c r="X11" s="145" t="n">
        <x:v>115</x:v>
      </x:c>
      <x:c r="Y11" s="145" t="n">
        <x:v>111</x:v>
      </x:c>
      <x:c r="Z11" s="145" t="n">
        <x:v>120</x:v>
      </x:c>
      <x:c r="AA11" s="145" t="n">
        <x:v>118</x:v>
      </x:c>
      <x:c r="AB11" s="145" t="n">
        <x:v>125</x:v>
      </x:c>
      <x:c r="AC11" s="145" t="n">
        <x:v>122</x:v>
      </x:c>
      <x:c r="AD11" s="146" t="n">
        <x:f>SUM(Y11,AA11,AC11)</x:f>
        <x:v>351</x:v>
      </x:c>
    </x:row>
    <x:row r="12">
      <x:c r="A12" s="29" t="str">
        <x:v>RX-02</x:v>
      </x:c>
      <x:c r="B12" s="30" t="str">
        <x:v>R-202</x:v>
      </x:c>
      <x:c r="C12" s="30" t="str">
        <x:v>L2-B</x:v>
      </x:c>
      <x:c r="D12" s="30" t="str">
        <x:v>촉매β/Catalyst-B</x:v>
      </x:c>
      <x:c r="E12" s="30" t="str">
        <x:v>CAT-B07</x:v>
      </x:c>
      <x:c r="F12" s="30" t="str">
        <x:v>BT26822</x:v>
      </x:c>
      <x:c r="G12" s="143" t="n">
        <x:v>76.3</x:v>
      </x:c>
      <x:c r="H12" s="30" t="n">
        <x:v>78</x:v>
      </x:c>
      <x:c r="I12" s="143" t="n">
        <x:v>1.6800000000000002</x:v>
      </x:c>
      <x:c r="J12" s="143" t="n">
        <x:v>269.3</x:v>
      </x:c>
      <x:c r="K12" s="143" t="n">
        <x:v>208</x:v>
      </x:c>
      <x:c r="L12" s="143" t="n">
        <x:v>61</x:v>
      </x:c>
      <x:c r="M12" s="83" t="n">
        <x:v>126.5</x:v>
      </x:c>
      <x:c r="N12" s="83" t="n">
        <x:v>150</x:v>
      </x:c>
      <x:c r="O12" s="83" t="n">
        <x:v>48.2</x:v>
      </x:c>
      <x:c r="P12" s="83" t="n">
        <x:v>49</x:v>
      </x:c>
      <x:c r="Q12" s="83" t="n">
        <x:v>1</x:v>
      </x:c>
      <x:c r="R12" s="83" t="str">
        <x:v>OK</x:v>
      </x:c>
      <x:c r="S12" s="144" t="n">
        <x:v>4920</x:v>
      </x:c>
      <x:c r="T12" s="144" t="n">
        <x:v>4678.92</x:v>
      </x:c>
      <x:c r="U12" s="165" t="n">
        <x:f>ROUND(T12/S12*100,2)</x:f>
        <x:v>95.1</x:v>
      </x:c>
      <x:c r="V12" s="144" t="n">
        <x:f>ROUND(G12-H12,1)</x:f>
        <x:v>-1.7</x:v>
      </x:c>
      <x:c r="W12" s="144" t="str">
        <x:f>IF(AND(U12&gt;=94,ABS(V12)&lt;=5,Q12&lt;=5),"PASS","CHECK")</x:f>
        <x:v>PASS</x:v>
      </x:c>
      <x:c r="X12" s="145" t="n">
        <x:v>117</x:v>
      </x:c>
      <x:c r="Y12" s="145" t="n">
        <x:v>113.2</x:v>
      </x:c>
      <x:c r="Z12" s="145" t="n">
        <x:v>122</x:v>
      </x:c>
      <x:c r="AA12" s="145" t="n">
        <x:v>120.1</x:v>
      </x:c>
      <x:c r="AB12" s="145" t="n">
        <x:v>127</x:v>
      </x:c>
      <x:c r="AC12" s="145" t="n">
        <x:v>124.3</x:v>
      </x:c>
      <x:c r="AD12" s="146" t="n">
        <x:f>SUM(Y12,AA12,AC12)</x:f>
        <x:v>357.6</x:v>
      </x:c>
    </x:row>
    <x:row r="13">
      <x:c r="A13" s="29" t="str">
        <x:v>RX-03</x:v>
      </x:c>
      <x:c r="B13" s="30" t="str">
        <x:v>R-203</x:v>
      </x:c>
      <x:c r="C13" s="30" t="str">
        <x:v>L1-C</x:v>
      </x:c>
      <x:c r="D13" s="30" t="str">
        <x:v>첨가제-17 / Add.17</x:v>
      </x:c>
      <x:c r="E13" s="30" t="str">
        <x:v>ADD-017</x:v>
      </x:c>
      <x:c r="F13" s="30" t="str">
        <x:v>BT26823</x:v>
      </x:c>
      <x:c r="G13" s="143" t="n">
        <x:v>77.6</x:v>
      </x:c>
      <x:c r="H13" s="30" t="n">
        <x:v>78</x:v>
      </x:c>
      <x:c r="I13" s="143" t="n">
        <x:v>1.76</x:v>
      </x:c>
      <x:c r="J13" s="143" t="n">
        <x:v>277.3</x:v>
      </x:c>
      <x:c r="K13" s="143" t="n">
        <x:v>226</x:v>
      </x:c>
      <x:c r="L13" s="143" t="n">
        <x:v>68</x:v>
      </x:c>
      <x:c r="M13" s="83" t="n">
        <x:v>135</x:v>
      </x:c>
      <x:c r="N13" s="83" t="n">
        <x:v>150</x:v>
      </x:c>
      <x:c r="O13" s="83" t="n">
        <x:v>49.4</x:v>
      </x:c>
      <x:c r="P13" s="83" t="n">
        <x:v>49</x:v>
      </x:c>
      <x:c r="Q13" s="83" t="n">
        <x:v>0</x:v>
      </x:c>
      <x:c r="R13" s="83" t="str">
        <x:v>OK</x:v>
      </x:c>
      <x:c r="S13" s="144" t="n">
        <x:v>5040</x:v>
      </x:c>
      <x:c r="T13" s="144" t="n">
        <x:v>4772.88</x:v>
      </x:c>
      <x:c r="U13" s="165" t="n">
        <x:f>ROUND(T13/S13*100,2)</x:f>
        <x:v>94.7</x:v>
      </x:c>
      <x:c r="V13" s="144" t="n">
        <x:f>ROUND(G13-H13,1)</x:f>
        <x:v>-0.4</x:v>
      </x:c>
      <x:c r="W13" s="144" t="str">
        <x:f>IF(AND(U13&gt;=94,ABS(V13)&lt;=5,Q13&lt;=5),"PASS","CHECK")</x:f>
        <x:v>PASS</x:v>
      </x:c>
      <x:c r="X13" s="145" t="n">
        <x:v>119</x:v>
      </x:c>
      <x:c r="Y13" s="145" t="n">
        <x:v>115.4</x:v>
      </x:c>
      <x:c r="Z13" s="145" t="n">
        <x:v>124</x:v>
      </x:c>
      <x:c r="AA13" s="145" t="n">
        <x:v>122.2</x:v>
      </x:c>
      <x:c r="AB13" s="145" t="n">
        <x:v>129</x:v>
      </x:c>
      <x:c r="AC13" s="145" t="n">
        <x:v>126.6</x:v>
      </x:c>
      <x:c r="AD13" s="146" t="n">
        <x:f>SUM(Y13,AA13,AC13)</x:f>
        <x:v>364.20000000000005</x:v>
      </x:c>
    </x:row>
    <x:row r="14">
      <x:c r="A14" s="29" t="str">
        <x:v>RX-04</x:v>
      </x:c>
      <x:c r="B14" s="30" t="str">
        <x:v>R-201</x:v>
      </x:c>
      <x:c r="C14" s="30" t="str">
        <x:v>L2-A</x:v>
      </x:c>
      <x:c r="D14" s="30" t="str">
        <x:v>수지A/Resin-A</x:v>
      </x:c>
      <x:c r="E14" s="30" t="str">
        <x:v>RM-A12</x:v>
      </x:c>
      <x:c r="F14" s="30" t="str">
        <x:v>BT26824</x:v>
      </x:c>
      <x:c r="G14" s="143" t="n">
        <x:v>78.9</x:v>
      </x:c>
      <x:c r="H14" s="30" t="n">
        <x:v>78</x:v>
      </x:c>
      <x:c r="I14" s="143" t="n">
        <x:v>1.84</x:v>
      </x:c>
      <x:c r="J14" s="143" t="n">
        <x:v>285.3</x:v>
      </x:c>
      <x:c r="K14" s="143" t="n">
        <x:v>244</x:v>
      </x:c>
      <x:c r="L14" s="143" t="n">
        <x:v>75</x:v>
      </x:c>
      <x:c r="M14" s="83" t="n">
        <x:v>143.5</x:v>
      </x:c>
      <x:c r="N14" s="83" t="n">
        <x:v>150</x:v>
      </x:c>
      <x:c r="O14" s="83" t="n">
        <x:v>50.6</x:v>
      </x:c>
      <x:c r="P14" s="83" t="n">
        <x:v>49</x:v>
      </x:c>
      <x:c r="Q14" s="83" t="n">
        <x:v>3</x:v>
      </x:c>
      <x:c r="R14" s="83" t="str">
        <x:v>OK</x:v>
      </x:c>
      <x:c r="S14" s="144" t="n">
        <x:v>5160</x:v>
      </x:c>
      <x:c r="T14" s="144" t="n">
        <x:v>4927.8</x:v>
      </x:c>
      <x:c r="U14" s="165" t="n">
        <x:f>ROUND(T14/S14*100,2)</x:f>
        <x:v>95.5</x:v>
      </x:c>
      <x:c r="V14" s="144" t="n">
        <x:f>ROUND(G14-H14,1)</x:f>
        <x:v>0.9</x:v>
      </x:c>
      <x:c r="W14" s="144" t="str">
        <x:f>IF(AND(U14&gt;=94,ABS(V14)&lt;=5,Q14&lt;=5),"PASS","CHECK")</x:f>
        <x:v>PASS</x:v>
      </x:c>
      <x:c r="X14" s="145" t="n">
        <x:v>121</x:v>
      </x:c>
      <x:c r="Y14" s="145" t="n">
        <x:v>117.6</x:v>
      </x:c>
      <x:c r="Z14" s="145" t="n">
        <x:v>126</x:v>
      </x:c>
      <x:c r="AA14" s="145" t="n">
        <x:v>124.3</x:v>
      </x:c>
      <x:c r="AB14" s="145" t="n">
        <x:v>131</x:v>
      </x:c>
      <x:c r="AC14" s="145" t="n">
        <x:v>128.9</x:v>
      </x:c>
      <x:c r="AD14" s="146" t="n">
        <x:f>SUM(Y14,AA14,AC14)</x:f>
        <x:v>370.79999999999995</x:v>
      </x:c>
    </x:row>
    <x:row r="15">
      <x:c r="A15" s="29" t="str">
        <x:v>RX-05</x:v>
      </x:c>
      <x:c r="B15" s="30" t="str">
        <x:v>R-202</x:v>
      </x:c>
      <x:c r="C15" s="30" t="str">
        <x:v>L1-B</x:v>
      </x:c>
      <x:c r="D15" s="30" t="str">
        <x:v>촉매β/Catalyst-B</x:v>
      </x:c>
      <x:c r="E15" s="30" t="str">
        <x:v>CAT-B07</x:v>
      </x:c>
      <x:c r="F15" s="30" t="str">
        <x:v>BT26825</x:v>
      </x:c>
      <x:c r="G15" s="143" t="n">
        <x:v>80.2</x:v>
      </x:c>
      <x:c r="H15" s="30" t="n">
        <x:v>78</x:v>
      </x:c>
      <x:c r="I15" s="143" t="n">
        <x:v>1.9200000000000002</x:v>
      </x:c>
      <x:c r="J15" s="143" t="n">
        <x:v>293.3</x:v>
      </x:c>
      <x:c r="K15" s="143" t="n">
        <x:v>262</x:v>
      </x:c>
      <x:c r="L15" s="143" t="n">
        <x:v>54</x:v>
      </x:c>
      <x:c r="M15" s="83" t="n">
        <x:v>152</x:v>
      </x:c>
      <x:c r="N15" s="83" t="n">
        <x:v>150</x:v>
      </x:c>
      <x:c r="O15" s="83" t="n">
        <x:v>47</x:v>
      </x:c>
      <x:c r="P15" s="83" t="n">
        <x:v>49</x:v>
      </x:c>
      <x:c r="Q15" s="83" t="n">
        <x:v>7</x:v>
      </x:c>
      <x:c r="R15" s="83" t="str">
        <x:v>NG</x:v>
      </x:c>
      <x:c r="S15" s="144" t="n">
        <x:v>5280</x:v>
      </x:c>
      <x:c r="T15" s="144" t="n">
        <x:v>5021.28</x:v>
      </x:c>
      <x:c r="U15" s="165" t="n">
        <x:f>ROUND(T15/S15*100,2)</x:f>
        <x:v>95.1</x:v>
      </x:c>
      <x:c r="V15" s="144" t="n">
        <x:f>ROUND(G15-H15,1)</x:f>
        <x:v>2.2</x:v>
      </x:c>
      <x:c r="W15" s="144" t="str">
        <x:f>IF(AND(U15&gt;=94,ABS(V15)&lt;=5,Q15&lt;=5),"PASS","CHECK")</x:f>
        <x:v>CHECK</x:v>
      </x:c>
      <x:c r="X15" s="145" t="n">
        <x:v>123</x:v>
      </x:c>
      <x:c r="Y15" s="145" t="n">
        <x:v>119.8</x:v>
      </x:c>
      <x:c r="Z15" s="145" t="n">
        <x:v>128</x:v>
      </x:c>
      <x:c r="AA15" s="145" t="n">
        <x:v>126.4</x:v>
      </x:c>
      <x:c r="AB15" s="145" t="n">
        <x:v>133</x:v>
      </x:c>
      <x:c r="AC15" s="145" t="n">
        <x:v>131.2</x:v>
      </x:c>
      <x:c r="AD15" s="146" t="n">
        <x:f>SUM(Y15,AA15,AC15)</x:f>
        <x:v>377.4</x:v>
      </x:c>
    </x:row>
    <x:row r="16">
      <x:c r="A16" s="29" t="str">
        <x:v>RX-06</x:v>
      </x:c>
      <x:c r="B16" s="30" t="str">
        <x:v>R-203</x:v>
      </x:c>
      <x:c r="C16" s="30" t="str">
        <x:v>L2-C</x:v>
      </x:c>
      <x:c r="D16" s="30" t="str">
        <x:v>첨가제-17 / Add.17</x:v>
      </x:c>
      <x:c r="E16" s="30" t="str">
        <x:v>ADD-017</x:v>
      </x:c>
      <x:c r="F16" s="30" t="str">
        <x:v>BT26826</x:v>
      </x:c>
      <x:c r="G16" s="143" t="n">
        <x:v>81.5</x:v>
      </x:c>
      <x:c r="H16" s="30" t="n">
        <x:v>78</x:v>
      </x:c>
      <x:c r="I16" s="143" t="n">
        <x:v>2</x:v>
      </x:c>
      <x:c r="J16" s="143" t="n">
        <x:v>301.3</x:v>
      </x:c>
      <x:c r="K16" s="143" t="n">
        <x:v>190</x:v>
      </x:c>
      <x:c r="L16" s="143" t="n">
        <x:v>61</x:v>
      </x:c>
      <x:c r="M16" s="83" t="n">
        <x:v>160.5</x:v>
      </x:c>
      <x:c r="N16" s="83" t="n">
        <x:v>150</x:v>
      </x:c>
      <x:c r="O16" s="83" t="n">
        <x:v>48.2</x:v>
      </x:c>
      <x:c r="P16" s="83" t="n">
        <x:v>49</x:v>
      </x:c>
      <x:c r="Q16" s="83" t="n">
        <x:v>0</x:v>
      </x:c>
      <x:c r="R16" s="83" t="str">
        <x:v>OK</x:v>
      </x:c>
      <x:c r="S16" s="144" t="n">
        <x:v>5400</x:v>
      </x:c>
      <x:c r="T16" s="144" t="n">
        <x:v>5113.8</x:v>
      </x:c>
      <x:c r="U16" s="165" t="n">
        <x:f>ROUND(T16/S16*100,2)</x:f>
        <x:v>94.7</x:v>
      </x:c>
      <x:c r="V16" s="144" t="n">
        <x:f>ROUND(G16-H16,1)</x:f>
        <x:v>3.5</x:v>
      </x:c>
      <x:c r="W16" s="144" t="str">
        <x:f>IF(AND(U16&gt;=94,ABS(V16)&lt;=5,Q16&lt;=5),"PASS","CHECK")</x:f>
        <x:v>PASS</x:v>
      </x:c>
      <x:c r="X16" s="145" t="n">
        <x:v>125</x:v>
      </x:c>
      <x:c r="Y16" s="145" t="n">
        <x:v>122</x:v>
      </x:c>
      <x:c r="Z16" s="145" t="n">
        <x:v>130</x:v>
      </x:c>
      <x:c r="AA16" s="145" t="n">
        <x:v>128.5</x:v>
      </x:c>
      <x:c r="AB16" s="145" t="n">
        <x:v>135</x:v>
      </x:c>
      <x:c r="AC16" s="145" t="n">
        <x:v>133.5</x:v>
      </x:c>
      <x:c r="AD16" s="146" t="n">
        <x:f>SUM(Y16,AA16,AC16)</x:f>
        <x:v>384</x:v>
      </x:c>
    </x:row>
    <x:row r="17">
      <x:c r="A17" s="29" t="str">
        <x:v>RX-07</x:v>
      </x:c>
      <x:c r="B17" s="30" t="str">
        <x:v>R-201</x:v>
      </x:c>
      <x:c r="C17" s="30" t="str">
        <x:v>L1-A</x:v>
      </x:c>
      <x:c r="D17" s="30" t="str">
        <x:v>수지A/Resin-A</x:v>
      </x:c>
      <x:c r="E17" s="30" t="str">
        <x:v>RM-A12</x:v>
      </x:c>
      <x:c r="F17" s="30" t="str">
        <x:v>BT26827</x:v>
      </x:c>
      <x:c r="G17" s="143" t="n">
        <x:v>82.8</x:v>
      </x:c>
      <x:c r="H17" s="30" t="n">
        <x:v>78</x:v>
      </x:c>
      <x:c r="I17" s="143" t="n">
        <x:v>2.08</x:v>
      </x:c>
      <x:c r="J17" s="143" t="n">
        <x:v>309.3</x:v>
      </x:c>
      <x:c r="K17" s="143" t="n">
        <x:v>208</x:v>
      </x:c>
      <x:c r="L17" s="143" t="n">
        <x:v>68</x:v>
      </x:c>
      <x:c r="M17" s="83" t="n">
        <x:v>169</x:v>
      </x:c>
      <x:c r="N17" s="83" t="n">
        <x:v>150</x:v>
      </x:c>
      <x:c r="O17" s="83" t="n">
        <x:v>49.4</x:v>
      </x:c>
      <x:c r="P17" s="83" t="n">
        <x:v>49</x:v>
      </x:c>
      <x:c r="Q17" s="83" t="n">
        <x:v>2</x:v>
      </x:c>
      <x:c r="R17" s="83" t="str">
        <x:v>OK</x:v>
      </x:c>
      <x:c r="S17" s="144" t="n">
        <x:v>5520</x:v>
      </x:c>
      <x:c r="T17" s="144" t="n">
        <x:v>5271.599999999999</x:v>
      </x:c>
      <x:c r="U17" s="165" t="n">
        <x:f>ROUND(T17/S17*100,2)</x:f>
        <x:v>95.5</x:v>
      </x:c>
      <x:c r="V17" s="144" t="n">
        <x:f>ROUND(G17-H17,1)</x:f>
        <x:v>4.8</x:v>
      </x:c>
      <x:c r="W17" s="144" t="str">
        <x:f>IF(AND(U17&gt;=94,ABS(V17)&lt;=5,Q17&lt;=5),"PASS","CHECK")</x:f>
        <x:v>PASS</x:v>
      </x:c>
      <x:c r="X17" s="145" t="n">
        <x:v>127</x:v>
      </x:c>
      <x:c r="Y17" s="145" t="n">
        <x:v>124.2</x:v>
      </x:c>
      <x:c r="Z17" s="145" t="n">
        <x:v>132</x:v>
      </x:c>
      <x:c r="AA17" s="145" t="n">
        <x:v>130.6</x:v>
      </x:c>
      <x:c r="AB17" s="145" t="n">
        <x:v>137</x:v>
      </x:c>
      <x:c r="AC17" s="145" t="n">
        <x:v>135.8</x:v>
      </x:c>
      <x:c r="AD17" s="146" t="n">
        <x:f>SUM(Y17,AA17,AC17)</x:f>
        <x:v>390.6</x:v>
      </x:c>
    </x:row>
    <x:row r="18">
      <x:c r="A18" s="29" t="str">
        <x:v>RX-08</x:v>
      </x:c>
      <x:c r="B18" s="30" t="str">
        <x:v>R-202</x:v>
      </x:c>
      <x:c r="C18" s="30" t="str">
        <x:v>L2-B</x:v>
      </x:c>
      <x:c r="D18" s="30" t="str">
        <x:v>촉매β/Catalyst-B</x:v>
      </x:c>
      <x:c r="E18" s="30" t="str">
        <x:v>CAT-B07</x:v>
      </x:c>
      <x:c r="F18" s="30" t="str">
        <x:v>BT26828</x:v>
      </x:c>
      <x:c r="G18" s="143" t="n">
        <x:v>75.1</x:v>
      </x:c>
      <x:c r="H18" s="30" t="n">
        <x:v>78</x:v>
      </x:c>
      <x:c r="I18" s="143" t="n">
        <x:v>2.16</x:v>
      </x:c>
      <x:c r="J18" s="143" t="n">
        <x:v>317.3</x:v>
      </x:c>
      <x:c r="K18" s="143" t="n">
        <x:v>226</x:v>
      </x:c>
      <x:c r="L18" s="143" t="n">
        <x:v>75</x:v>
      </x:c>
      <x:c r="M18" s="83" t="n">
        <x:v>177.5</x:v>
      </x:c>
      <x:c r="N18" s="83" t="n">
        <x:v>150</x:v>
      </x:c>
      <x:c r="O18" s="83" t="n">
        <x:v>50.6</x:v>
      </x:c>
      <x:c r="P18" s="83" t="n">
        <x:v>49</x:v>
      </x:c>
      <x:c r="Q18" s="83" t="n">
        <x:v>0</x:v>
      </x:c>
      <x:c r="R18" s="83" t="str">
        <x:v>OK</x:v>
      </x:c>
      <x:c r="S18" s="144" t="n">
        <x:v>5640</x:v>
      </x:c>
      <x:c r="T18" s="144" t="n">
        <x:v>5363.639999999999</x:v>
      </x:c>
      <x:c r="U18" s="165" t="n">
        <x:f>ROUND(T18/S18*100,2)</x:f>
        <x:v>95.1</x:v>
      </x:c>
      <x:c r="V18" s="144" t="n">
        <x:f>ROUND(G18-H18,1)</x:f>
        <x:v>-2.9</x:v>
      </x:c>
      <x:c r="W18" s="144" t="str">
        <x:f>IF(AND(U18&gt;=94,ABS(V18)&lt;=5,Q18&lt;=5),"PASS","CHECK")</x:f>
        <x:v>PASS</x:v>
      </x:c>
      <x:c r="X18" s="145" t="n">
        <x:v>129</x:v>
      </x:c>
      <x:c r="Y18" s="145" t="n">
        <x:v>126.4</x:v>
      </x:c>
      <x:c r="Z18" s="145" t="n">
        <x:v>134</x:v>
      </x:c>
      <x:c r="AA18" s="145" t="n">
        <x:v>132.7</x:v>
      </x:c>
      <x:c r="AB18" s="145" t="n">
        <x:v>139</x:v>
      </x:c>
      <x:c r="AC18" s="145" t="n">
        <x:v>138.1</x:v>
      </x:c>
      <x:c r="AD18" s="146" t="n">
        <x:f>SUM(Y18,AA18,AC18)</x:f>
        <x:v>397.20000000000005</x:v>
      </x:c>
    </x:row>
    <x:row r="19">
      <x:c r="A19" s="29" t="str">
        <x:v>RX-09</x:v>
      </x:c>
      <x:c r="B19" s="30" t="str">
        <x:v>R-203</x:v>
      </x:c>
      <x:c r="C19" s="30" t="str">
        <x:v>L1-C</x:v>
      </x:c>
      <x:c r="D19" s="30" t="str">
        <x:v>첨가제-17 / Add.17</x:v>
      </x:c>
      <x:c r="E19" s="30" t="str">
        <x:v>ADD-017</x:v>
      </x:c>
      <x:c r="F19" s="30" t="str">
        <x:v>BT26829</x:v>
      </x:c>
      <x:c r="G19" s="143" t="n">
        <x:v>76.4</x:v>
      </x:c>
      <x:c r="H19" s="30" t="n">
        <x:v>78</x:v>
      </x:c>
      <x:c r="I19" s="143" t="n">
        <x:v>2.24</x:v>
      </x:c>
      <x:c r="J19" s="143" t="n">
        <x:v>325.3</x:v>
      </x:c>
      <x:c r="K19" s="143" t="n">
        <x:v>244</x:v>
      </x:c>
      <x:c r="L19" s="143" t="n">
        <x:v>54</x:v>
      </x:c>
      <x:c r="M19" s="83" t="n">
        <x:v>186</x:v>
      </x:c>
      <x:c r="N19" s="83" t="n">
        <x:v>150</x:v>
      </x:c>
      <x:c r="O19" s="83" t="n">
        <x:v>47</x:v>
      </x:c>
      <x:c r="P19" s="83" t="n">
        <x:v>49</x:v>
      </x:c>
      <x:c r="Q19" s="83" t="n">
        <x:v>1</x:v>
      </x:c>
      <x:c r="R19" s="83" t="str">
        <x:v>OK</x:v>
      </x:c>
      <x:c r="S19" s="144" t="n">
        <x:v>5760</x:v>
      </x:c>
      <x:c r="T19" s="144" t="n">
        <x:v>5454.719999999999</x:v>
      </x:c>
      <x:c r="U19" s="165" t="n">
        <x:f>ROUND(T19/S19*100,2)</x:f>
        <x:v>94.7</x:v>
      </x:c>
      <x:c r="V19" s="144" t="n">
        <x:f>ROUND(G19-H19,1)</x:f>
        <x:v>-1.6</x:v>
      </x:c>
      <x:c r="W19" s="144" t="str">
        <x:f>IF(AND(U19&gt;=94,ABS(V19)&lt;=5,Q19&lt;=5),"PASS","CHECK")</x:f>
        <x:v>PASS</x:v>
      </x:c>
      <x:c r="X19" s="145" t="n">
        <x:v>131</x:v>
      </x:c>
      <x:c r="Y19" s="145" t="n">
        <x:v>128.6</x:v>
      </x:c>
      <x:c r="Z19" s="145" t="n">
        <x:v>136</x:v>
      </x:c>
      <x:c r="AA19" s="145" t="n">
        <x:v>134.8</x:v>
      </x:c>
      <x:c r="AB19" s="145" t="n">
        <x:v>141</x:v>
      </x:c>
      <x:c r="AC19" s="145" t="n">
        <x:v>140.4</x:v>
      </x:c>
      <x:c r="AD19" s="146" t="n">
        <x:f>SUM(Y19,AA19,AC19)</x:f>
        <x:v>403.79999999999995</x:v>
      </x:c>
    </x:row>
    <x:row r="20">
      <x:c r="A20" s="32" t="str">
        <x:v>RX-10</x:v>
      </x:c>
      <x:c r="B20" s="33" t="str">
        <x:v>R-201</x:v>
      </x:c>
      <x:c r="C20" s="33" t="str">
        <x:v>L2-A</x:v>
      </x:c>
      <x:c r="D20" s="33" t="str">
        <x:v>수지A/Resin-A</x:v>
      </x:c>
      <x:c r="E20" s="33" t="str">
        <x:v>RM-A12</x:v>
      </x:c>
      <x:c r="F20" s="33" t="str">
        <x:v>BT26830</x:v>
      </x:c>
      <x:c r="G20" s="147" t="n">
        <x:v>77.7</x:v>
      </x:c>
      <x:c r="H20" s="33" t="n">
        <x:v>78</x:v>
      </x:c>
      <x:c r="I20" s="147" t="n">
        <x:v>2.3200000000000003</x:v>
      </x:c>
      <x:c r="J20" s="147" t="n">
        <x:v>333.3</x:v>
      </x:c>
      <x:c r="K20" s="147" t="n">
        <x:v>262</x:v>
      </x:c>
      <x:c r="L20" s="147" t="n">
        <x:v>61</x:v>
      </x:c>
      <x:c r="M20" s="148" t="n">
        <x:v>194.5</x:v>
      </x:c>
      <x:c r="N20" s="148" t="n">
        <x:v>150</x:v>
      </x:c>
      <x:c r="O20" s="148" t="n">
        <x:v>48.2</x:v>
      </x:c>
      <x:c r="P20" s="148" t="n">
        <x:v>49</x:v>
      </x:c>
      <x:c r="Q20" s="148" t="n">
        <x:v>4</x:v>
      </x:c>
      <x:c r="R20" s="148" t="str">
        <x:v>NG</x:v>
      </x:c>
      <x:c r="S20" s="149" t="n">
        <x:v>5880</x:v>
      </x:c>
      <x:c r="T20" s="149" t="n">
        <x:v>5615.4</x:v>
      </x:c>
      <x:c r="U20" s="166" t="n">
        <x:f>ROUND(T20/S20*100,2)</x:f>
        <x:v>95.5</x:v>
      </x:c>
      <x:c r="V20" s="149" t="n">
        <x:f>ROUND(G20-H20,1)</x:f>
        <x:v>-0.3</x:v>
      </x:c>
      <x:c r="W20" s="149" t="str">
        <x:f>IF(AND(U20&gt;=94,ABS(V20)&lt;=5,Q20&lt;=5),"PASS","CHECK")</x:f>
        <x:v>PASS</x:v>
      </x:c>
      <x:c r="X20" s="150" t="n">
        <x:v>133</x:v>
      </x:c>
      <x:c r="Y20" s="150" t="n">
        <x:v>130.8</x:v>
      </x:c>
      <x:c r="Z20" s="150" t="n">
        <x:v>138</x:v>
      </x:c>
      <x:c r="AA20" s="150" t="n">
        <x:v>136.9</x:v>
      </x:c>
      <x:c r="AB20" s="150" t="n">
        <x:v>143</x:v>
      </x:c>
      <x:c r="AC20" s="150" t="n">
        <x:v>142.7</x:v>
      </x:c>
      <x:c r="AD20" s="151" t="n">
        <x:f>SUM(Y20,AA20,AC20)</x:f>
        <x:v>410.40000000000003</x:v>
      </x:c>
    </x:row>
    <x:row r="23">
      <x:c r="A23" s="172" t="str">
        <x:v>교대조 작업기록 / Shift Log (세로 반복 블록)</x:v>
      </x:c>
      <x:c r="B23" s="172"/>
      <x:c r="C23" s="172"/>
      <x:c r="D23" s="172"/>
      <x:c r="E23" s="172"/>
      <x:c r="F23" s="172"/>
      <x:c r="G23" s="172"/>
      <x:c r="H23" s="172"/>
    </x:row>
    <x:row r="24">
      <x:c r="A24" s="12" t="str">
        <x:v>Shift</x:v>
      </x:c>
      <x:c r="B24" s="13" t="str">
        <x:v>작업자</x:v>
      </x:c>
      <x:c r="C24" s="13" t="str">
        <x:v>Start</x:v>
      </x:c>
      <x:c r="D24" s="13" t="str">
        <x:v>End</x:v>
      </x:c>
      <x:c r="E24" s="13" t="str">
        <x:v>Hold(min)</x:v>
      </x:c>
      <x:c r="F24" s="13" t="str">
        <x:v>세정(CIP)</x:v>
      </x:c>
      <x:c r="G24" s="13" t="str">
        <x:v>비고</x:v>
      </x:c>
      <x:c r="H24" s="14" t="str">
        <x:v>전자서명</x:v>
      </x:c>
    </x:row>
    <x:row r="25">
      <x:c r="A25" s="29" t="str">
        <x:v>A</x:v>
      </x:c>
      <x:c r="B25" s="30" t="str">
        <x:v>김A</x:v>
      </x:c>
      <x:c r="C25" s="30" t="str">
        <x:v>06:00</x:v>
      </x:c>
      <x:c r="D25" s="30" t="str">
        <x:v>14:00</x:v>
      </x:c>
      <x:c r="E25" s="30" t="n">
        <x:v>18</x:v>
      </x:c>
      <x:c r="F25" s="30" t="str">
        <x:v>Y</x:v>
      </x:c>
      <x:c r="G25" s="30" t="str">
        <x:v>R-201 filter DP↑</x:v>
      </x:c>
      <x:c r="H25" s="31" t="str">
        <x:v>KIMA#260821</x:v>
      </x:c>
    </x:row>
    <x:row r="26">
      <x:c r="A26" s="29" t="str">
        <x:v>A</x:v>
      </x:c>
      <x:c r="B26" s="30" t="str">
        <x:v>박B</x:v>
      </x:c>
      <x:c r="C26" s="30" t="str">
        <x:v>06:00</x:v>
      </x:c>
      <x:c r="D26" s="30" t="str">
        <x:v>14:00</x:v>
      </x:c>
      <x:c r="E26" s="30" t="n">
        <x:v>0</x:v>
      </x:c>
      <x:c r="F26" s="30" t="str">
        <x:v>N</x:v>
      </x:c>
      <x:c r="G26" s="30" t="str">
        <x:v>-</x:v>
      </x:c>
      <x:c r="H26" s="31" t="str">
        <x:v>PARKB#260821</x:v>
      </x:c>
    </x:row>
    <x:row r="27">
      <x:c r="A27" s="29" t="str">
        <x:v>B</x:v>
      </x:c>
      <x:c r="B27" s="30" t="str">
        <x:v>이C</x:v>
      </x:c>
      <x:c r="C27" s="30" t="str">
        <x:v>14:00</x:v>
      </x:c>
      <x:c r="D27" s="30" t="str">
        <x:v>22:00</x:v>
      </x:c>
      <x:c r="E27" s="30" t="n">
        <x:v>35</x:v>
      </x:c>
      <x:c r="F27" s="30" t="str">
        <x:v>Y</x:v>
      </x:c>
      <x:c r="G27" s="30" t="str">
        <x:v>색상 변경 확인</x:v>
      </x:c>
      <x:c r="H27" s="31" t="str">
        <x:v>LEEC#260821</x:v>
      </x:c>
    </x:row>
    <x:row r="28">
      <x:c r="A28" s="29" t="str">
        <x:v>B</x:v>
      </x:c>
      <x:c r="B28" s="30" t="str">
        <x:v>최D</x:v>
      </x:c>
      <x:c r="C28" s="30" t="str">
        <x:v>14:00</x:v>
      </x:c>
      <x:c r="D28" s="30" t="str">
        <x:v>22:00</x:v>
      </x:c>
      <x:c r="E28" s="30" t="n">
        <x:v>12</x:v>
      </x:c>
      <x:c r="F28" s="30" t="str">
        <x:v>N</x:v>
      </x:c>
      <x:c r="G28" s="30" t="str">
        <x:v>R-202 진동 증가</x:v>
      </x:c>
      <x:c r="H28" s="31" t="str">
        <x:v>CHOID#260821</x:v>
      </x:c>
    </x:row>
    <x:row r="29">
      <x:c r="A29" s="29" t="str">
        <x:v>C</x:v>
      </x:c>
      <x:c r="B29" s="30" t="str">
        <x:v>정E</x:v>
      </x:c>
      <x:c r="C29" s="30" t="str">
        <x:v>22:00</x:v>
      </x:c>
      <x:c r="D29" s="30" t="str">
        <x:v>06:00</x:v>
      </x:c>
      <x:c r="E29" s="30" t="n">
        <x:v>5</x:v>
      </x:c>
      <x:c r="F29" s="30" t="str">
        <x:v>N</x:v>
      </x:c>
      <x:c r="G29" s="30" t="str">
        <x:v>night sample 03:20</x:v>
      </x:c>
      <x:c r="H29" s="31" t="str">
        <x:v>JUNGE#260822</x:v>
      </x:c>
    </x:row>
    <x:row r="30">
      <x:c r="A30" s="32" t="str">
        <x:v>C</x:v>
      </x:c>
      <x:c r="B30" s="33" t="str">
        <x:v>한F</x:v>
      </x:c>
      <x:c r="C30" s="33" t="str">
        <x:v>22:00</x:v>
      </x:c>
      <x:c r="D30" s="33" t="str">
        <x:v>06:00</x:v>
      </x:c>
      <x:c r="E30" s="33" t="n">
        <x:v>44</x:v>
      </x:c>
      <x:c r="F30" s="33" t="str">
        <x:v>Y</x:v>
      </x:c>
      <x:c r="G30" s="33" t="str">
        <x:v>Batch BT26827 재투입</x:v>
      </x:c>
      <x:c r="H30" s="34" t="str">
        <x:v>HANF#260822</x:v>
      </x:c>
    </x:row>
  </x:sheetData>
  <x:mergeCells>
    <x:mergeCell ref="A1:AD2"/>
    <x:mergeCell ref="B6:H6"/>
    <x:mergeCell ref="A8:A10"/>
    <x:mergeCell ref="B8:C8"/>
    <x:mergeCell ref="B9:B10"/>
    <x:mergeCell ref="C9:C10"/>
    <x:mergeCell ref="D8:F8"/>
    <x:mergeCell ref="D9:E9"/>
    <x:mergeCell ref="F9:F10"/>
    <x:mergeCell ref="G8:L8"/>
    <x:mergeCell ref="G9:H9"/>
    <x:mergeCell ref="I9:J9"/>
    <x:mergeCell ref="K9:L9"/>
    <x:mergeCell ref="M8:R8"/>
    <x:mergeCell ref="M9:N9"/>
    <x:mergeCell ref="O9:P9"/>
    <x:mergeCell ref="Q9:R9"/>
    <x:mergeCell ref="S8:W8"/>
    <x:mergeCell ref="X8:AD8"/>
    <x:mergeCell ref="X9:Y9"/>
    <x:mergeCell ref="Z9:AA9"/>
    <x:mergeCell ref="AB9:AC9"/>
    <x:mergeCell ref="AD9:AD10"/>
    <x:mergeCell ref="A23:H23"/>
  </x:mergeCells>
  <x:conditionalFormatting sqref="R11:R20">
    <x:cfRule type="expression" dxfId="0" priority="1">
      <x:formula>R11="NG"</x:formula>
    </x:cfRule>
  </x:conditionalFormatting>
  <x:conditionalFormatting sqref="W11:W20">
    <x:cfRule type="expression" dxfId="1" priority="2">
      <x:formula>W11="CHECK"</x:formula>
    </x:cfRule>
  </x:conditionalFormatting>
  <x:conditionalFormatting sqref="G11:G20">
    <x:cfRule type="cellIs" dxfId="2" priority="3" operator="greaterThan">
      <x:formula>82</x:formula>
    </x:cfRule>
  </x:conditionalFormatting>
  <x:conditionalFormatting sqref="E25:E30">
    <x:cfRule type="dataBar" priority="4">
      <x:dataBar>
        <x:cfvo type="min"/>
        <x:cfvo type="max"/>
        <x:color rgb="FF156082"/>
      </x:dataBar>
      <x:extLst>
        <x:ext xmlns:x14="http://schemas.microsoft.com/office/spreadsheetml/2009/9/main" uri="{B025F937-C7B1-47D3-B67F-A62EFF666E3E}">
          <x14:id>{25CDC500-674D-5A99-B689-8DD2B4D448BC}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3f0a83ebf4a49c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25CDC500-674D-5A99-B689-8DD2B4D448BC}">
            <x14:dataBar gradient="1">
              <x14:cfvo type="min"/>
              <x14:cfvo type="max"/>
              <x14:fillColor rgb="FF156082"/>
            </x14:dataBar>
          </x14:cfRule>
          <xm:sqref>E25:E30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2" hidden="0" customWidth="1"/>
    <x:col min="3" max="3" width="22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8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6" hidden="0" customWidth="1"/>
  </x:cols>
  <x:sheetData>
    <x:row r="1">
      <x:c r="A1" s="183" t="str">
        <x:v>QC 종합검사 시트 / Lab Inspection Mixed Layout — LOT별·항목별 방향 혼재</x:v>
      </x:c>
      <x:c r="B1" s="183"/>
      <x:c r="C1" s="183"/>
      <x:c r="D1" s="183"/>
      <x:c r="E1" s="183"/>
      <x:c r="F1" s="183"/>
      <x:c r="G1" s="183"/>
      <x:c r="H1" s="183"/>
      <x:c r="I1" s="183"/>
      <x:c r="J1" s="183"/>
      <x:c r="K1" s="183"/>
      <x:c r="L1" s="183"/>
      <x:c r="M1" s="183"/>
      <x:c r="N1" s="183"/>
      <x:c r="O1" s="183"/>
      <x:c r="P1" s="183"/>
      <x:c r="Q1" s="183"/>
    </x:row>
    <x:row r="2">
      <x:c r="A2" s="183"/>
      <x:c r="B2" s="183"/>
      <x:c r="C2" s="183"/>
      <x:c r="D2" s="183"/>
      <x:c r="E2" s="183"/>
      <x:c r="F2" s="183"/>
      <x:c r="G2" s="183"/>
      <x:c r="H2" s="183"/>
      <x:c r="I2" s="183"/>
      <x:c r="J2" s="183"/>
      <x:c r="K2" s="183"/>
      <x:c r="L2" s="183"/>
      <x:c r="M2" s="183"/>
      <x:c r="N2" s="183"/>
      <x:c r="O2" s="183"/>
      <x:c r="P2" s="183"/>
      <x:c r="Q2" s="183"/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</x:row>
    <x:row r="4">
      <x:c r="A4" s="184" t="str">
        <x:v>[Block A] LOT별 검사 결과 — 세로 누적</x:v>
      </x:c>
      <x:c r="B4" s="184"/>
      <x:c r="C4" s="184"/>
      <x:c r="D4" s="184"/>
      <x:c r="E4" s="184"/>
      <x:c r="F4" s="184"/>
      <x:c r="G4" s="184"/>
      <x:c r="H4" s="184"/>
      <x:c r="I4" s="30"/>
      <x:c r="J4" s="184" t="str">
        <x:v>[Block B] 동일 LOT의 재검/항목별 — 가로 누적</x:v>
      </x:c>
      <x:c r="K4" s="184"/>
      <x:c r="L4" s="184"/>
      <x:c r="M4" s="184"/>
      <x:c r="N4" s="184"/>
      <x:c r="O4" s="184"/>
      <x:c r="P4" s="184"/>
      <x:c r="Q4" s="184"/>
    </x:row>
    <x:row r="5">
      <x:c r="A5" s="12" t="str">
        <x:v>Lot No</x:v>
      </x:c>
      <x:c r="B5" s="13" t="str">
        <x:v>Sampling</x:v>
      </x:c>
      <x:c r="C5" s="13" t="str">
        <x:v>Appearance / 외관</x:v>
      </x:c>
      <x:c r="D5" s="13" t="str">
        <x:v>Color</x:v>
      </x:c>
      <x:c r="E5" s="13" t="str">
        <x:v>Viscosity</x:v>
      </x:c>
      <x:c r="F5" s="13" t="str">
        <x:v>Solid</x:v>
      </x:c>
      <x:c r="G5" s="13" t="str">
        <x:v>NG</x:v>
      </x:c>
      <x:c r="H5" s="14" t="str">
        <x:v>Final</x:v>
      </x:c>
      <x:c r="I5" s="30"/>
      <x:c r="J5" s="12" t="str">
        <x:v>검사항목</x:v>
      </x:c>
      <x:c r="K5" s="13" t="str">
        <x:v>단위</x:v>
      </x:c>
      <x:c r="L5" s="13" t="str">
        <x:v>BT26821</x:v>
      </x:c>
      <x:c r="M5" s="13" t="str">
        <x:v>BT26822</x:v>
      </x:c>
      <x:c r="N5" s="13" t="str">
        <x:v>BT26823</x:v>
      </x:c>
      <x:c r="O5" s="13" t="str">
        <x:v>BT26824</x:v>
      </x:c>
      <x:c r="P5" s="13" t="str">
        <x:v>BT26825</x:v>
      </x:c>
      <x:c r="Q5" s="14" t="str">
        <x:v>Spec</x:v>
      </x:c>
    </x:row>
    <x:row r="6">
      <x:c r="A6" s="117" t="str"/>
      <x:c r="B6" s="101" t="str"/>
      <x:c r="C6" s="101" t="str">
        <x:v>육안</x:v>
      </x:c>
      <x:c r="D6" s="101" t="str">
        <x:v>APHA</x:v>
      </x:c>
      <x:c r="E6" s="101" t="str">
        <x:v>cP @25℃</x:v>
      </x:c>
      <x:c r="F6" s="101" t="str">
        <x:v>wt%</x:v>
      </x:c>
      <x:c r="G6" s="101" t="str">
        <x:v>EA</x:v>
      </x:c>
      <x:c r="H6" s="118" t="str">
        <x:v>OK/NG</x:v>
      </x:c>
      <x:c r="I6" s="30"/>
      <x:c r="J6" s="29" t="str">
        <x:v>η / Visc.</x:v>
      </x:c>
      <x:c r="K6" s="30" t="str">
        <x:v>cP</x:v>
      </x:c>
      <x:c r="L6" s="143" t="n">
        <x:v>121</x:v>
      </x:c>
      <x:c r="M6" s="143" t="n">
        <x:v>134</x:v>
      </x:c>
      <x:c r="N6" s="143" t="n">
        <x:v>147</x:v>
      </x:c>
      <x:c r="O6" s="143" t="n">
        <x:v>158</x:v>
      </x:c>
      <x:c r="P6" s="185" t="n">
        <x:v>202</x:v>
      </x:c>
      <x:c r="Q6" s="31" t="str">
        <x:v>110~190</x:v>
      </x:c>
    </x:row>
    <x:row r="7">
      <x:c r="A7" s="117" t="str"/>
      <x:c r="B7" s="101" t="str"/>
      <x:c r="C7" s="101" t="str">
        <x:v>Text</x:v>
      </x:c>
      <x:c r="D7" s="101" t="str">
        <x:v>≤80</x:v>
      </x:c>
      <x:c r="E7" s="101" t="str">
        <x:v>110~190</x:v>
      </x:c>
      <x:c r="F7" s="101" t="str">
        <x:v>47~52</x:v>
      </x:c>
      <x:c r="G7" s="101" t="str">
        <x:v>≤5</x:v>
      </x:c>
      <x:c r="H7" s="118" t="str">
        <x:v>Rule</x:v>
      </x:c>
      <x:c r="I7" s="30"/>
      <x:c r="J7" s="29" t="str">
        <x:v>Solid</x:v>
      </x:c>
      <x:c r="K7" s="30" t="str">
        <x:v>wt%</x:v>
      </x:c>
      <x:c r="L7" s="143" t="n">
        <x:v>47.3</x:v>
      </x:c>
      <x:c r="M7" s="143" t="n">
        <x:v>48.2</x:v>
      </x:c>
      <x:c r="N7" s="143" t="n">
        <x:v>49</x:v>
      </x:c>
      <x:c r="O7" s="143" t="n">
        <x:v>50.4</x:v>
      </x:c>
      <x:c r="P7" s="185" t="n">
        <x:v>51.8</x:v>
      </x:c>
      <x:c r="Q7" s="31" t="str">
        <x:v>47~52</x:v>
      </x:c>
    </x:row>
    <x:row r="8">
      <x:c r="A8" s="29" t="str">
        <x:v>BT26821</x:v>
      </x:c>
      <x:c r="B8" s="30" t="str">
        <x:v>2026-08-21 08:30</x:v>
      </x:c>
      <x:c r="C8" s="30" t="str">
        <x:v>Clear</x:v>
      </x:c>
      <x:c r="D8" s="83" t="n">
        <x:v>38</x:v>
      </x:c>
      <x:c r="E8" s="83" t="n">
        <x:v>118</x:v>
      </x:c>
      <x:c r="F8" s="83" t="n">
        <x:v>47</x:v>
      </x:c>
      <x:c r="G8" s="83" t="n">
        <x:v>0</x:v>
      </x:c>
      <x:c r="H8" s="31" t="str">
        <x:f>IF(AND(D8&lt;=80,E8&gt;=110,E8&lt;=190,F8&gt;=47,F8&lt;=52,G8&lt;=5),"OK","NG")</x:f>
        <x:v>OK</x:v>
      </x:c>
      <x:c r="I8" s="30"/>
      <x:c r="J8" s="29" t="str">
        <x:v>APHA</x:v>
      </x:c>
      <x:c r="K8" s="30" t="str">
        <x:v>#</x:v>
      </x:c>
      <x:c r="L8" s="143" t="n">
        <x:v>38</x:v>
      </x:c>
      <x:c r="M8" s="143" t="n">
        <x:v>42</x:v>
      </x:c>
      <x:c r="N8" s="143" t="n">
        <x:v>55</x:v>
      </x:c>
      <x:c r="O8" s="143" t="n">
        <x:v>61</x:v>
      </x:c>
      <x:c r="P8" s="185" t="n">
        <x:v>77</x:v>
      </x:c>
      <x:c r="Q8" s="31" t="str">
        <x:v>≤80</x:v>
      </x:c>
    </x:row>
    <x:row r="9">
      <x:c r="A9" s="29" t="str">
        <x:v>BT26822</x:v>
      </x:c>
      <x:c r="B9" s="30" t="str">
        <x:v>2026-08-21 11:30</x:v>
      </x:c>
      <x:c r="C9" s="30" t="str">
        <x:v>Clear</x:v>
      </x:c>
      <x:c r="D9" s="83" t="n">
        <x:v>42</x:v>
      </x:c>
      <x:c r="E9" s="83" t="n">
        <x:v>126.5</x:v>
      </x:c>
      <x:c r="F9" s="83" t="n">
        <x:v>48.2</x:v>
      </x:c>
      <x:c r="G9" s="83" t="n">
        <x:v>1</x:v>
      </x:c>
      <x:c r="H9" s="31" t="str">
        <x:f>IF(AND(D9&lt;=80,E9&gt;=110,E9&lt;=190,F9&gt;=47,F9&lt;=52,G9&lt;=5),"OK","NG")</x:f>
        <x:v>OK</x:v>
      </x:c>
      <x:c r="I9" s="30"/>
      <x:c r="J9" s="29" t="str">
        <x:v>Acid Value</x:v>
      </x:c>
      <x:c r="K9" s="30" t="str">
        <x:v>mgKOH/g</x:v>
      </x:c>
      <x:c r="L9" s="143" t="n">
        <x:v>0.31</x:v>
      </x:c>
      <x:c r="M9" s="143" t="n">
        <x:v>0.28</x:v>
      </x:c>
      <x:c r="N9" s="143" t="n">
        <x:v>0.35</x:v>
      </x:c>
      <x:c r="O9" s="143" t="n">
        <x:v>0.41</x:v>
      </x:c>
      <x:c r="P9" s="185" t="n">
        <x:v>0.39</x:v>
      </x:c>
      <x:c r="Q9" s="31" t="str">
        <x:v>≤0.50</x:v>
      </x:c>
    </x:row>
    <x:row r="10">
      <x:c r="A10" s="29" t="str">
        <x:v>BT26823</x:v>
      </x:c>
      <x:c r="B10" s="30" t="str">
        <x:v>2026-08-21 14:30</x:v>
      </x:c>
      <x:c r="C10" s="30" t="str">
        <x:v>Slight haze</x:v>
      </x:c>
      <x:c r="D10" s="83" t="n">
        <x:v>46</x:v>
      </x:c>
      <x:c r="E10" s="83" t="n">
        <x:v>135</x:v>
      </x:c>
      <x:c r="F10" s="83" t="n">
        <x:v>49.4</x:v>
      </x:c>
      <x:c r="G10" s="83" t="n">
        <x:v>0</x:v>
      </x:c>
      <x:c r="H10" s="31" t="str">
        <x:f>IF(AND(D10&lt;=80,E10&gt;=110,E10&lt;=190,F10&gt;=47,F10&lt;=52,G10&lt;=5),"OK","NG")</x:f>
        <x:v>OK</x:v>
      </x:c>
      <x:c r="I10" s="30"/>
      <x:c r="J10" s="29" t="str">
        <x:v>Moisture</x:v>
      </x:c>
      <x:c r="K10" s="30" t="str">
        <x:v>ppm</x:v>
      </x:c>
      <x:c r="L10" s="143" t="n">
        <x:v>210</x:v>
      </x:c>
      <x:c r="M10" s="143" t="n">
        <x:v>240</x:v>
      </x:c>
      <x:c r="N10" s="143" t="n">
        <x:v>180</x:v>
      </x:c>
      <x:c r="O10" s="143" t="n">
        <x:v>260</x:v>
      </x:c>
      <x:c r="P10" s="185" t="n">
        <x:v>310</x:v>
      </x:c>
      <x:c r="Q10" s="31" t="str">
        <x:v>≤300</x:v>
      </x:c>
    </x:row>
    <x:row r="11">
      <x:c r="A11" s="29" t="str">
        <x:v>BT26824</x:v>
      </x:c>
      <x:c r="B11" s="30" t="str">
        <x:v>2026-08-21 17:30</x:v>
      </x:c>
      <x:c r="C11" s="30" t="str">
        <x:v>Clear</x:v>
      </x:c>
      <x:c r="D11" s="83" t="n">
        <x:v>50</x:v>
      </x:c>
      <x:c r="E11" s="83" t="n">
        <x:v>143.5</x:v>
      </x:c>
      <x:c r="F11" s="83" t="n">
        <x:v>50.6</x:v>
      </x:c>
      <x:c r="G11" s="83" t="n">
        <x:v>3</x:v>
      </x:c>
      <x:c r="H11" s="31" t="str">
        <x:f>IF(AND(D11&lt;=80,E11&gt;=110,E11&lt;=190,F11&gt;=47,F11&lt;=52,G11&lt;=5),"OK","NG")</x:f>
        <x:v>OK</x:v>
      </x:c>
      <x:c r="I11" s="30"/>
      <x:c r="J11" s="29" t="str">
        <x:v>Particle ≥50μm</x:v>
      </x:c>
      <x:c r="K11" s="30" t="str">
        <x:v>ea/mL</x:v>
      </x:c>
      <x:c r="L11" s="143" t="n">
        <x:v>2</x:v>
      </x:c>
      <x:c r="M11" s="143" t="n">
        <x:v>3</x:v>
      </x:c>
      <x:c r="N11" s="143" t="n">
        <x:v>1</x:v>
      </x:c>
      <x:c r="O11" s="143" t="n">
        <x:v>4</x:v>
      </x:c>
      <x:c r="P11" s="185" t="n">
        <x:v>8</x:v>
      </x:c>
      <x:c r="Q11" s="31" t="str">
        <x:v>≤5</x:v>
      </x:c>
    </x:row>
    <x:row r="12">
      <x:c r="A12" s="29" t="str">
        <x:v>BT26825</x:v>
      </x:c>
      <x:c r="B12" s="30" t="str">
        <x:v>2026-08-22 08:30</x:v>
      </x:c>
      <x:c r="C12" s="30" t="str">
        <x:v>Clear</x:v>
      </x:c>
      <x:c r="D12" s="83" t="n">
        <x:v>54</x:v>
      </x:c>
      <x:c r="E12" s="83" t="n">
        <x:v>152</x:v>
      </x:c>
      <x:c r="F12" s="83" t="n">
        <x:v>47</x:v>
      </x:c>
      <x:c r="G12" s="83" t="n">
        <x:v>7</x:v>
      </x:c>
      <x:c r="H12" s="31" t="str">
        <x:f>IF(AND(D12&lt;=80,E12&gt;=110,E12&lt;=190,F12&gt;=47,F12&lt;=52,G12&lt;=5),"OK","NG")</x:f>
        <x:v>NG</x:v>
      </x:c>
      <x:c r="I12" s="30"/>
      <x:c r="J12" s="32" t="str">
        <x:v>Re-check?</x:v>
      </x:c>
      <x:c r="K12" s="33" t="str">
        <x:v>Y/N</x:v>
      </x:c>
      <x:c r="L12" s="147" t="str">
        <x:v>N</x:v>
      </x:c>
      <x:c r="M12" s="147" t="str">
        <x:v>N</x:v>
      </x:c>
      <x:c r="N12" s="147" t="str">
        <x:v>N</x:v>
      </x:c>
      <x:c r="O12" s="147" t="str">
        <x:v>N</x:v>
      </x:c>
      <x:c r="P12" s="186" t="str">
        <x:v>Y</x:v>
      </x:c>
      <x:c r="Q12" s="34" t="str">
        <x:v>Manual</x:v>
      </x:c>
    </x:row>
    <x:row r="13">
      <x:c r="A13" s="29" t="str">
        <x:v>BT26826</x:v>
      </x:c>
      <x:c r="B13" s="30" t="str">
        <x:v>2026-08-22 11:30</x:v>
      </x:c>
      <x:c r="C13" s="30" t="str">
        <x:v>Clear</x:v>
      </x:c>
      <x:c r="D13" s="83" t="n">
        <x:v>58</x:v>
      </x:c>
      <x:c r="E13" s="83" t="n">
        <x:v>160.5</x:v>
      </x:c>
      <x:c r="F13" s="83" t="n">
        <x:v>48.2</x:v>
      </x:c>
      <x:c r="G13" s="83" t="n">
        <x:v>0</x:v>
      </x:c>
      <x:c r="H13" s="31" t="str">
        <x:f>IF(AND(D13&lt;=80,E13&gt;=110,E13&lt;=190,F13&gt;=47,F13&lt;=52,G13&lt;=5),"OK","NG")</x:f>
        <x:v>OK</x:v>
      </x:c>
      <x:c r="I13" s="30"/>
      <x:c r="J13" s="30"/>
      <x:c r="K13" s="30"/>
      <x:c r="L13" s="30"/>
      <x:c r="M13" s="30"/>
      <x:c r="N13" s="30"/>
      <x:c r="O13" s="30"/>
      <x:c r="P13" s="30"/>
      <x:c r="Q13" s="30"/>
    </x:row>
    <x:row r="14">
      <x:c r="A14" s="29" t="str">
        <x:v>BT26827</x:v>
      </x:c>
      <x:c r="B14" s="30" t="str">
        <x:v>2026-08-22 14:30</x:v>
      </x:c>
      <x:c r="C14" s="30" t="str">
        <x:v>Slight haze</x:v>
      </x:c>
      <x:c r="D14" s="83" t="n">
        <x:v>62</x:v>
      </x:c>
      <x:c r="E14" s="83" t="n">
        <x:v>169</x:v>
      </x:c>
      <x:c r="F14" s="83" t="n">
        <x:v>49.4</x:v>
      </x:c>
      <x:c r="G14" s="83" t="n">
        <x:v>2</x:v>
      </x:c>
      <x:c r="H14" s="31" t="str">
        <x:f>IF(AND(D14&lt;=80,E14&gt;=110,E14&lt;=190,F14&gt;=47,F14&lt;=52,G14&lt;=5),"OK","NG")</x:f>
        <x:v>OK</x:v>
      </x:c>
      <x:c r="I14" s="30"/>
      <x:c r="J14" s="30"/>
      <x:c r="K14" s="30"/>
      <x:c r="L14" s="30"/>
      <x:c r="M14" s="30"/>
      <x:c r="N14" s="30"/>
      <x:c r="O14" s="30"/>
      <x:c r="P14" s="30"/>
      <x:c r="Q14" s="30"/>
    </x:row>
    <x:row r="15">
      <x:c r="A15" s="29" t="str">
        <x:v>BT26828</x:v>
      </x:c>
      <x:c r="B15" s="30" t="str">
        <x:v>2026-08-22 17:30</x:v>
      </x:c>
      <x:c r="C15" s="30" t="str">
        <x:v>Clear</x:v>
      </x:c>
      <x:c r="D15" s="83" t="n">
        <x:v>66</x:v>
      </x:c>
      <x:c r="E15" s="83" t="n">
        <x:v>177.5</x:v>
      </x:c>
      <x:c r="F15" s="83" t="n">
        <x:v>50.6</x:v>
      </x:c>
      <x:c r="G15" s="83" t="n">
        <x:v>0</x:v>
      </x:c>
      <x:c r="H15" s="31" t="str">
        <x:f>IF(AND(D15&lt;=80,E15&gt;=110,E15&lt;=190,F15&gt;=47,F15&lt;=52,G15&lt;=5),"OK","NG")</x:f>
        <x:v>OK</x:v>
      </x:c>
      <x:c r="I15" s="30"/>
      <x:c r="J15" s="30"/>
      <x:c r="K15" s="30"/>
      <x:c r="L15" s="30"/>
      <x:c r="M15" s="30"/>
      <x:c r="N15" s="30"/>
      <x:c r="O15" s="30"/>
      <x:c r="P15" s="30"/>
      <x:c r="Q15" s="30"/>
    </x:row>
    <x:row r="16">
      <x:c r="A16" s="29" t="str">
        <x:v>BT26829</x:v>
      </x:c>
      <x:c r="B16" s="30" t="str">
        <x:v>2026-08-23 08:30</x:v>
      </x:c>
      <x:c r="C16" s="30" t="str">
        <x:v>Clear</x:v>
      </x:c>
      <x:c r="D16" s="83" t="n">
        <x:v>70</x:v>
      </x:c>
      <x:c r="E16" s="83" t="n">
        <x:v>186</x:v>
      </x:c>
      <x:c r="F16" s="83" t="n">
        <x:v>47</x:v>
      </x:c>
      <x:c r="G16" s="83" t="n">
        <x:v>1</x:v>
      </x:c>
      <x:c r="H16" s="31" t="str">
        <x:f>IF(AND(D16&lt;=80,E16&gt;=110,E16&lt;=190,F16&gt;=47,F16&lt;=52,G16&lt;=5),"OK","NG")</x:f>
        <x:v>OK</x:v>
      </x:c>
      <x:c r="I16" s="30"/>
      <x:c r="J16" s="30"/>
      <x:c r="K16" s="30"/>
      <x:c r="L16" s="30"/>
      <x:c r="M16" s="30"/>
      <x:c r="N16" s="30"/>
      <x:c r="O16" s="30"/>
      <x:c r="P16" s="30"/>
      <x:c r="Q16" s="30"/>
    </x:row>
    <x:row r="17">
      <x:c r="A17" s="32" t="str">
        <x:v>BT26830</x:v>
      </x:c>
      <x:c r="B17" s="33" t="str">
        <x:v>2026-08-23 11:30</x:v>
      </x:c>
      <x:c r="C17" s="33" t="str">
        <x:v>Clear</x:v>
      </x:c>
      <x:c r="D17" s="148" t="n">
        <x:v>74</x:v>
      </x:c>
      <x:c r="E17" s="148" t="n">
        <x:v>194.5</x:v>
      </x:c>
      <x:c r="F17" s="148" t="n">
        <x:v>48.2</x:v>
      </x:c>
      <x:c r="G17" s="148" t="n">
        <x:v>4</x:v>
      </x:c>
      <x:c r="H17" s="34" t="str">
        <x:f>IF(AND(D17&lt;=80,E17&gt;=110,E17&lt;=190,F17&gt;=47,F17&lt;=52,G17&lt;=5),"OK","NG")</x:f>
        <x:v>NG</x:v>
      </x:c>
      <x:c r="I17" s="30"/>
      <x:c r="J17" s="30"/>
      <x:c r="K17" s="30"/>
      <x:c r="L17" s="30"/>
      <x:c r="M17" s="30"/>
      <x:c r="N17" s="30"/>
      <x:c r="O17" s="30"/>
      <x:c r="P17" s="30"/>
      <x:c r="Q17" s="30"/>
    </x:row>
    <x:row r="18">
      <x:c r="A18" s="30"/>
      <x:c r="B18" s="30"/>
      <x:c r="C18" s="30"/>
      <x:c r="D18" s="30"/>
      <x:c r="E18" s="30"/>
      <x:c r="F18" s="30"/>
      <x:c r="G18" s="30"/>
      <x:c r="H18" s="30"/>
      <x:c r="I18" s="30"/>
      <x:c r="J18" s="30"/>
      <x:c r="K18" s="30"/>
      <x:c r="L18" s="30"/>
      <x:c r="M18" s="30"/>
      <x:c r="N18" s="30"/>
      <x:c r="O18" s="30"/>
      <x:c r="P18" s="30"/>
      <x:c r="Q18" s="30"/>
    </x:row>
    <x:row r="19">
      <x:c r="A19" s="30"/>
      <x:c r="B19" s="30"/>
      <x:c r="C19" s="30"/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30"/>
    </x:row>
    <x:row r="20">
      <x:c r="A20" s="184" t="str">
        <x:v>[Block C] Release Decision / 출하판정 — 참조·수식·서술 혼재</x:v>
      </x:c>
      <x:c r="B20" s="184"/>
      <x:c r="C20" s="184"/>
      <x:c r="D20" s="184"/>
      <x:c r="E20" s="184"/>
      <x:c r="F20" s="184"/>
      <x:c r="G20" s="184"/>
      <x:c r="H20" s="184"/>
      <x:c r="I20" s="184"/>
      <x:c r="J20" s="184"/>
      <x:c r="K20" s="184"/>
      <x:c r="L20" s="184"/>
      <x:c r="M20" s="184"/>
      <x:c r="N20" s="184"/>
      <x:c r="O20" s="184"/>
      <x:c r="P20" s="184"/>
      <x:c r="Q20" s="184"/>
    </x:row>
    <x:row r="21">
      <x:c r="A21" s="12" t="str">
        <x:v>Field</x:v>
      </x:c>
      <x:c r="B21" s="13" t="str">
        <x:v>Value</x:v>
      </x:c>
      <x:c r="C21" s="13" t="str">
        <x:v>Source</x:v>
      </x:c>
      <x:c r="D21" s="14" t="str">
        <x:v>Remark</x:v>
      </x:c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</x:row>
    <x:row r="22">
      <x:c r="A22" s="29" t="str">
        <x:v>LOT</x:v>
      </x:c>
      <x:c r="B22" s="30" t="str">
        <x:v>BT26825</x:v>
      </x:c>
      <x:c r="C22" s="30" t="str">
        <x:v>Barcode/수기</x:v>
      </x:c>
      <x:c r="D22" s="31" t="str">
        <x:v>재검 대상</x:v>
      </x:c>
      <x:c r="E22" s="30"/>
      <x:c r="F22" s="30"/>
      <x:c r="G22" s="30"/>
      <x:c r="H22" s="30"/>
      <x:c r="I22" s="30"/>
      <x:c r="J22" s="30"/>
      <x:c r="K22" s="30"/>
      <x:c r="L22" s="30"/>
      <x:c r="M22" s="30"/>
      <x:c r="N22" s="30"/>
      <x:c r="O22" s="30"/>
      <x:c r="P22" s="30"/>
      <x:c r="Q22" s="30"/>
    </x:row>
    <x:row r="23">
      <x:c r="A23" s="29" t="str">
        <x:v>공정 Status</x:v>
      </x:c>
      <x:c r="B23" s="30" t="str">
        <x:f>'01_공정실적_RAW'!W15</x:f>
        <x:v>CHECK</x:v>
      </x:c>
      <x:c r="C23" s="30" t="str">
        <x:v>01_공정실적_RAW!W15</x:v>
      </x:c>
      <x:c r="D23" s="31" t="str">
        <x:v>공정 자동판정</x:v>
      </x:c>
      <x:c r="E23" s="30"/>
      <x:c r="F23" s="30"/>
      <x:c r="G23" s="30"/>
      <x:c r="H23" s="30"/>
      <x:c r="I23" s="30"/>
      <x:c r="J23" s="30"/>
      <x:c r="K23" s="30"/>
      <x:c r="L23" s="30"/>
      <x:c r="M23" s="30"/>
      <x:c r="N23" s="30"/>
      <x:c r="O23" s="30"/>
      <x:c r="P23" s="30"/>
      <x:c r="Q23" s="30"/>
    </x:row>
    <x:row r="24">
      <x:c r="A24" s="29" t="str">
        <x:v>QC Final</x:v>
      </x:c>
      <x:c r="B24" s="30" t="str">
        <x:f>H12</x:f>
        <x:v>NG</x:v>
      </x:c>
      <x:c r="C24" s="30" t="str">
        <x:v>Block A!H12</x:v>
      </x:c>
      <x:c r="D24" s="31" t="str">
        <x:v>검사 최종판정</x:v>
      </x:c>
      <x:c r="E24" s="30"/>
      <x:c r="F24" s="30"/>
      <x:c r="G24" s="30"/>
      <x:c r="H24" s="30"/>
      <x:c r="I24" s="30"/>
      <x:c r="J24" s="30"/>
      <x:c r="K24" s="30"/>
      <x:c r="L24" s="30"/>
      <x:c r="M24" s="30"/>
      <x:c r="N24" s="30"/>
      <x:c r="O24" s="30"/>
      <x:c r="P24" s="30"/>
      <x:c r="Q24" s="30"/>
    </x:row>
    <x:row r="25">
      <x:c r="A25" s="29" t="str">
        <x:v>Release</x:v>
      </x:c>
      <x:c r="B25" s="30" t="str">
        <x:f>IF(AND(B23="PASS",B24="OK"),"RELEASE","HOLD")</x:f>
        <x:v>HOLD</x:v>
      </x:c>
      <x:c r="C25" s="30" t="str">
        <x:v>AND Rule</x:v>
      </x:c>
      <x:c r="D25" s="31" t="str">
        <x:v>둘 다 OK/PASS일 때 출하</x:v>
      </x:c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</x:row>
    <x:row r="26">
      <x:c r="A26" s="29" t="str">
        <x:v>사유</x:v>
      </x:c>
      <x:c r="B26" s="30" t="str">
        <x:v>점도 190cP 초과 가능성 / particle count 8</x:v>
      </x:c>
      <x:c r="C26" s="30" t="str">
        <x:v>QA Memo</x:v>
      </x:c>
      <x:c r="D26" s="31" t="str">
        <x:v>한글+영어+숫자</x:v>
      </x:c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</x:row>
    <x:row r="27">
      <x:c r="A27" s="32" t="str">
        <x:v>승인</x:v>
      </x:c>
      <x:c r="B27" s="187" t="str">
        <x:v>QA-LEE / 2026.08.21 17:40</x:v>
      </x:c>
      <x:c r="C27" s="33" t="str">
        <x:v>전자서명</x:v>
      </x:c>
      <x:c r="D27" s="34" t="str">
        <x:v>색상은 승인 상태 의미</x:v>
      </x:c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</x:row>
  </x:sheetData>
  <x:mergeCells>
    <x:mergeCell ref="A1:Q2"/>
    <x:mergeCell ref="A4:H4"/>
    <x:mergeCell ref="J4:Q4"/>
    <x:mergeCell ref="A20:Q20"/>
  </x:mergeCells>
  <x:conditionalFormatting sqref="H8:H17">
    <x:cfRule type="expression" dxfId="3" priority="1">
      <x:formula>H8="NG"</x:formula>
    </x:cfRule>
  </x:conditionalFormatting>
  <x:conditionalFormatting sqref="B25:B25">
    <x:cfRule type="expression" dxfId="4" priority="2">
      <x:formula>B25="HOLD"</x:formula>
    </x:cfRule>
  </x:conditionalFormatting>
  <x:pageMargins left="0.7" right="0.7" top="0.75" bottom="0.75" header="0.3" footer="0.3"/>
  <x:drawing xmlns:r="http://schemas.openxmlformats.org/officeDocument/2006/relationships" r:id="R1d333699e3f345a7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183" t="str">
        <x:v>설비 Energy / Alarm / Maintenance Dashboard — 영역형 표 + 계산 + 차트 + 이미지</x:v>
      </x:c>
      <x:c r="B1" s="183"/>
      <x:c r="C1" s="183"/>
      <x:c r="D1" s="183"/>
      <x:c r="E1" s="183"/>
      <x:c r="F1" s="183"/>
      <x:c r="G1" s="183"/>
      <x:c r="H1" s="183"/>
      <x:c r="I1" s="183"/>
      <x:c r="J1" s="183"/>
      <x:c r="K1" s="183"/>
      <x:c r="L1" s="183"/>
      <x:c r="M1" s="183"/>
      <x:c r="N1" s="183"/>
    </x:row>
    <x:row r="2">
      <x:c r="A2" s="183"/>
      <x:c r="B2" s="183"/>
      <x:c r="C2" s="183"/>
      <x:c r="D2" s="183"/>
      <x:c r="E2" s="183"/>
      <x:c r="F2" s="183"/>
      <x:c r="G2" s="183"/>
      <x:c r="H2" s="183"/>
      <x:c r="I2" s="183"/>
      <x:c r="J2" s="183"/>
      <x:c r="K2" s="183"/>
      <x:c r="L2" s="183"/>
      <x:c r="M2" s="183"/>
      <x:c r="N2" s="183"/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</x:row>
    <x:row r="4">
      <x:c r="A4" s="184" t="str">
        <x:v>AREA-1 : Energy Meter Snapshot</x:v>
      </x:c>
      <x:c r="B4" s="184"/>
      <x:c r="C4" s="184"/>
      <x:c r="D4" s="184"/>
      <x:c r="E4" s="184"/>
      <x:c r="F4" s="184"/>
      <x:c r="G4" s="184"/>
      <x:c r="H4" s="30"/>
      <x:c r="I4" s="30"/>
      <x:c r="J4" s="30"/>
      <x:c r="K4" s="184" t="str">
        <x:v>AREA-3 : PM Checklist</x:v>
      </x:c>
      <x:c r="L4" s="184"/>
      <x:c r="M4" s="184"/>
      <x:c r="N4" s="184"/>
    </x:row>
    <x:row r="5">
      <x:c r="A5" s="12" t="str">
        <x:v>EQP</x:v>
      </x:c>
      <x:c r="B5" s="13" t="str">
        <x:v>Meter-ID</x:v>
      </x:c>
      <x:c r="C5" s="13" t="str">
        <x:v>Start kWh</x:v>
      </x:c>
      <x:c r="D5" s="13" t="str">
        <x:v>End kWh</x:v>
      </x:c>
      <x:c r="E5" s="13" t="str">
        <x:v>Usage kWh</x:v>
      </x:c>
      <x:c r="F5" s="13" t="str">
        <x:v>Runtime(h)</x:v>
      </x:c>
      <x:c r="G5" s="14" t="str">
        <x:v>kWh/h</x:v>
      </x:c>
      <x:c r="H5" s="30"/>
      <x:c r="I5" s="30"/>
      <x:c r="J5" s="30"/>
      <x:c r="K5" s="12" t="str">
        <x:v>Item</x:v>
      </x:c>
      <x:c r="L5" s="13" t="str">
        <x:v>R-201</x:v>
      </x:c>
      <x:c r="M5" s="13" t="str">
        <x:v>R-202</x:v>
      </x:c>
      <x:c r="N5" s="14" t="str">
        <x:v>R-203</x:v>
      </x:c>
    </x:row>
    <x:row r="6">
      <x:c r="A6" s="29" t="str">
        <x:v>R-201</x:v>
      </x:c>
      <x:c r="B6" s="30" t="str">
        <x:v>EM-0021</x:v>
      </x:c>
      <x:c r="C6" s="30" t="n">
        <x:v>185220</x:v>
      </x:c>
      <x:c r="D6" s="30" t="n">
        <x:v>185890</x:v>
      </x:c>
      <x:c r="E6" s="144" t="n">
        <x:f>D6-C6</x:f>
        <x:v>670</x:v>
      </x:c>
      <x:c r="F6" s="144" t="n">
        <x:v>20.5</x:v>
      </x:c>
      <x:c r="G6" s="197" t="n">
        <x:f>IF(F6=0,0,E6/F6)</x:f>
        <x:v>32.68292682926829</x:v>
      </x:c>
      <x:c r="H6" s="30"/>
      <x:c r="I6" s="30"/>
      <x:c r="J6" s="30"/>
      <x:c r="K6" s="29" t="str">
        <x:v>Seal Oil</x:v>
      </x:c>
      <x:c r="L6" s="30" t="str">
        <x:v>OK</x:v>
      </x:c>
      <x:c r="M6" s="30" t="str">
        <x:v>OK</x:v>
      </x:c>
      <x:c r="N6" s="84" t="str">
        <x:v>CHECK</x:v>
      </x:c>
    </x:row>
    <x:row r="7">
      <x:c r="A7" s="29" t="str">
        <x:v>R-202</x:v>
      </x:c>
      <x:c r="B7" s="30" t="str">
        <x:v>EM-0022</x:v>
      </x:c>
      <x:c r="C7" s="30" t="n">
        <x:v>172114</x:v>
      </x:c>
      <x:c r="D7" s="30" t="n">
        <x:v>172701</x:v>
      </x:c>
      <x:c r="E7" s="144" t="n">
        <x:f>D7-C7</x:f>
        <x:v>587</x:v>
      </x:c>
      <x:c r="F7" s="144" t="n">
        <x:v>19.1</x:v>
      </x:c>
      <x:c r="G7" s="197" t="n">
        <x:f>IF(F7=0,0,E7/F7)</x:f>
        <x:v>30.732984293193716</x:v>
      </x:c>
      <x:c r="H7" s="30"/>
      <x:c r="I7" s="30"/>
      <x:c r="J7" s="30"/>
      <x:c r="K7" s="29" t="str">
        <x:v>Bearing Temp</x:v>
      </x:c>
      <x:c r="L7" s="30" t="str">
        <x:v>65.1</x:v>
      </x:c>
      <x:c r="M7" s="30" t="str">
        <x:v>67.8</x:v>
      </x:c>
      <x:c r="N7" s="31" t="str">
        <x:v>64.9</x:v>
      </x:c>
    </x:row>
    <x:row r="8">
      <x:c r="A8" s="29" t="str">
        <x:v>R-203</x:v>
      </x:c>
      <x:c r="B8" s="30" t="str">
        <x:v>EM-0023</x:v>
      </x:c>
      <x:c r="C8" s="30" t="n">
        <x:v>199005</x:v>
      </x:c>
      <x:c r="D8" s="30" t="n">
        <x:v>199799</x:v>
      </x:c>
      <x:c r="E8" s="144" t="n">
        <x:f>D8-C8</x:f>
        <x:v>794</x:v>
      </x:c>
      <x:c r="F8" s="144" t="n">
        <x:v>21.3</x:v>
      </x:c>
      <x:c r="G8" s="197" t="n">
        <x:f>IF(F8=0,0,E8/F8)</x:f>
        <x:v>37.27699530516432</x:v>
      </x:c>
      <x:c r="H8" s="30"/>
      <x:c r="I8" s="30"/>
      <x:c r="J8" s="30"/>
      <x:c r="K8" s="29" t="str">
        <x:v>Vibration</x:v>
      </x:c>
      <x:c r="L8" s="30" t="str">
        <x:v>3.2</x:v>
      </x:c>
      <x:c r="M8" s="30" t="str">
        <x:v>3.8</x:v>
      </x:c>
      <x:c r="N8" s="31" t="str">
        <x:v>4.1</x:v>
      </x:c>
    </x:row>
    <x:row r="9">
      <x:c r="A9" s="29" t="str">
        <x:v>M-311</x:v>
      </x:c>
      <x:c r="B9" s="30" t="str">
        <x:v>EM-0311</x:v>
      </x:c>
      <x:c r="C9" s="30" t="n">
        <x:v>88220</x:v>
      </x:c>
      <x:c r="D9" s="30" t="n">
        <x:v>88488</x:v>
      </x:c>
      <x:c r="E9" s="144" t="n">
        <x:f>D9-C9</x:f>
        <x:v>268</x:v>
      </x:c>
      <x:c r="F9" s="144" t="n">
        <x:v>8.2</x:v>
      </x:c>
      <x:c r="G9" s="197" t="n">
        <x:f>IF(F9=0,0,E9/F9)</x:f>
        <x:v>32.6829268292683</x:v>
      </x:c>
      <x:c r="H9" s="30"/>
      <x:c r="I9" s="30"/>
      <x:c r="J9" s="30"/>
      <x:c r="K9" s="29" t="str">
        <x:v>Filter ΔP</x:v>
      </x:c>
      <x:c r="L9" s="30" t="str">
        <x:v>0.42</x:v>
      </x:c>
      <x:c r="M9" s="30" t="str">
        <x:v>0.47</x:v>
      </x:c>
      <x:c r="N9" s="31" t="str">
        <x:v>0.39</x:v>
      </x:c>
    </x:row>
    <x:row r="10">
      <x:c r="A10" s="29" t="str">
        <x:v>P-401</x:v>
      </x:c>
      <x:c r="B10" s="30" t="str">
        <x:v>EM-0401</x:v>
      </x:c>
      <x:c r="C10" s="30" t="n">
        <x:v>120054</x:v>
      </x:c>
      <x:c r="D10" s="30" t="n">
        <x:v>120321</x:v>
      </x:c>
      <x:c r="E10" s="144" t="n">
        <x:f>D10-C10</x:f>
        <x:v>267</x:v>
      </x:c>
      <x:c r="F10" s="144" t="n">
        <x:v>11.5</x:v>
      </x:c>
      <x:c r="G10" s="197" t="n">
        <x:f>IF(F10=0,0,E10/F10)</x:f>
        <x:v>23.217391304347824</x:v>
      </x:c>
      <x:c r="H10" s="30"/>
      <x:c r="I10" s="30"/>
      <x:c r="J10" s="30"/>
      <x:c r="K10" s="29" t="str">
        <x:v>Grease</x:v>
      </x:c>
      <x:c r="L10" s="30" t="str">
        <x:v>2026-08-10</x:v>
      </x:c>
      <x:c r="M10" s="30" t="str">
        <x:v>2026-08-11</x:v>
      </x:c>
      <x:c r="N10" s="31" t="str">
        <x:v>2026-08-09</x:v>
      </x:c>
    </x:row>
    <x:row r="11">
      <x:c r="A11" s="29" t="str">
        <x:v>P-402</x:v>
      </x:c>
      <x:c r="B11" s="30" t="str">
        <x:v>EM-0402</x:v>
      </x:c>
      <x:c r="C11" s="30" t="n">
        <x:v>130610</x:v>
      </x:c>
      <x:c r="D11" s="30" t="n">
        <x:v>130977</x:v>
      </x:c>
      <x:c r="E11" s="144" t="n">
        <x:f>D11-C11</x:f>
        <x:v>367</x:v>
      </x:c>
      <x:c r="F11" s="144" t="n">
        <x:v>13</x:v>
      </x:c>
      <x:c r="G11" s="197" t="n">
        <x:f>IF(F11=0,0,E11/F11)</x:f>
        <x:v>28.23076923076923</x:v>
      </x:c>
      <x:c r="H11" s="30"/>
      <x:c r="I11" s="30"/>
      <x:c r="J11" s="30"/>
      <x:c r="K11" s="29" t="str">
        <x:v>Next PM</x:v>
      </x:c>
      <x:c r="L11" s="30" t="str">
        <x:v>2026-09-10</x:v>
      </x:c>
      <x:c r="M11" s="30" t="str">
        <x:v>2026-09-11</x:v>
      </x:c>
      <x:c r="N11" s="31" t="str">
        <x:v>2026-09-09</x:v>
      </x:c>
    </x:row>
    <x:row r="12">
      <x:c r="A12" s="32" t="str">
        <x:v>CIP-01</x:v>
      </x:c>
      <x:c r="B12" s="33" t="str">
        <x:v>EM-0701</x:v>
      </x:c>
      <x:c r="C12" s="33" t="n">
        <x:v>71840</x:v>
      </x:c>
      <x:c r="D12" s="33" t="n">
        <x:v>72295</x:v>
      </x:c>
      <x:c r="E12" s="149" t="n">
        <x:f>D12-C12</x:f>
        <x:v>455</x:v>
      </x:c>
      <x:c r="F12" s="149" t="n">
        <x:v>5.5</x:v>
      </x:c>
      <x:c r="G12" s="198" t="n">
        <x:f>IF(F12=0,0,E12/F12)</x:f>
        <x:v>82.72727272727273</x:v>
      </x:c>
      <x:c r="H12" s="30"/>
      <x:c r="I12" s="30"/>
      <x:c r="J12" s="30"/>
      <x:c r="K12" s="32" t="str">
        <x:v>Inspector</x:v>
      </x:c>
      <x:c r="L12" s="33" t="str">
        <x:v>정비-A</x:v>
      </x:c>
      <x:c r="M12" s="33" t="str">
        <x:v>정비-B</x:v>
      </x:c>
      <x:c r="N12" s="34" t="str">
        <x:v>정비-C</x:v>
      </x:c>
    </x:row>
    <x:row r="13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</x:row>
    <x:row r="14">
      <x:c r="A14" s="30"/>
      <x:c r="B14" s="30"/>
      <x:c r="C14" s="30"/>
      <x:c r="D14" s="30"/>
      <x:c r="E14" s="30"/>
      <x:c r="F14" s="30"/>
      <x:c r="G14" s="30"/>
      <x:c r="H14" s="30"/>
      <x:c r="I14" s="30"/>
      <x:c r="J14" s="30"/>
      <x:c r="K14" s="30"/>
      <x:c r="L14" s="30"/>
      <x:c r="M14" s="30"/>
      <x:c r="N14" s="30"/>
    </x:row>
    <x:row r="15">
      <x:c r="A15" s="184" t="str">
        <x:v>AREA-2 : Alarm/Event Log — 색/문자/숫자 혼합</x:v>
      </x:c>
      <x:c r="B15" s="184"/>
      <x:c r="C15" s="184"/>
      <x:c r="D15" s="184"/>
      <x:c r="E15" s="184"/>
      <x:c r="F15" s="184"/>
      <x:c r="G15" s="184"/>
      <x:c r="H15" s="184"/>
      <x:c r="I15" s="184"/>
      <x:c r="J15" s="30"/>
      <x:c r="K15" s="30"/>
      <x:c r="L15" s="30"/>
      <x:c r="M15" s="30"/>
      <x:c r="N15" s="30"/>
    </x:row>
    <x:row r="16">
      <x:c r="A16" s="12" t="str">
        <x:v>Time</x:v>
      </x:c>
      <x:c r="B16" s="13" t="str">
        <x:v>EQP</x:v>
      </x:c>
      <x:c r="C16" s="13" t="str">
        <x:v>Tag</x:v>
      </x:c>
      <x:c r="D16" s="13" t="str">
        <x:v>Severity</x:v>
      </x:c>
      <x:c r="E16" s="13" t="str">
        <x:v>Alarm Text</x:v>
      </x:c>
      <x:c r="F16" s="13" t="str">
        <x:v>PV</x:v>
      </x:c>
      <x:c r="G16" s="13" t="str">
        <x:v>Limit</x:v>
      </x:c>
      <x:c r="H16" s="13" t="str">
        <x:v>Ack</x:v>
      </x:c>
      <x:c r="I16" s="14" t="str">
        <x:v>Duration(sec)</x:v>
      </x:c>
      <x:c r="J16" s="30"/>
      <x:c r="K16" s="30"/>
      <x:c r="L16" s="30"/>
      <x:c r="M16" s="30"/>
      <x:c r="N16" s="30"/>
    </x:row>
    <x:row r="17">
      <x:c r="A17" s="29" t="str">
        <x:v>08:14:22</x:v>
      </x:c>
      <x:c r="B17" s="30" t="str">
        <x:v>R-201</x:v>
      </x:c>
      <x:c r="C17" s="30" t="str">
        <x:v>TIC-201.PV</x:v>
      </x:c>
      <x:c r="D17" s="30" t="str">
        <x:v>H</x:v>
      </x:c>
      <x:c r="E17" s="30" t="str">
        <x:v>Reactor Temp HIGH</x:v>
      </x:c>
      <x:c r="F17" s="30" t="n">
        <x:v>83.4</x:v>
      </x:c>
      <x:c r="G17" s="30" t="n">
        <x:v>82</x:v>
      </x:c>
      <x:c r="H17" s="30" t="str">
        <x:v>KIMA</x:v>
      </x:c>
      <x:c r="I17" s="31" t="n">
        <x:v>84</x:v>
      </x:c>
      <x:c r="J17" s="30"/>
      <x:c r="K17" s="30"/>
      <x:c r="L17" s="30"/>
      <x:c r="M17" s="30"/>
      <x:c r="N17" s="30"/>
    </x:row>
    <x:row r="18">
      <x:c r="A18" s="29" t="str">
        <x:v>09:02:11</x:v>
      </x:c>
      <x:c r="B18" s="30" t="str">
        <x:v>R-202</x:v>
      </x:c>
      <x:c r="C18" s="30" t="str">
        <x:v>PIC-202.PV</x:v>
      </x:c>
      <x:c r="D18" s="30" t="str">
        <x:v>M</x:v>
      </x:c>
      <x:c r="E18" s="30" t="str">
        <x:v>Pressure fluctuation</x:v>
      </x:c>
      <x:c r="F18" s="30" t="n">
        <x:v>2.31</x:v>
      </x:c>
      <x:c r="G18" s="30" t="n">
        <x:v>2.4</x:v>
      </x:c>
      <x:c r="H18" s="30" t="str">
        <x:v>AUTO</x:v>
      </x:c>
      <x:c r="I18" s="31" t="n">
        <x:v>12</x:v>
      </x:c>
      <x:c r="J18" s="30"/>
      <x:c r="K18" s="30"/>
      <x:c r="L18" s="30"/>
      <x:c r="M18" s="30"/>
      <x:c r="N18" s="30"/>
    </x:row>
    <x:row r="19">
      <x:c r="A19" s="29" t="str">
        <x:v>09:45:33</x:v>
      </x:c>
      <x:c r="B19" s="30" t="str">
        <x:v>P-401</x:v>
      </x:c>
      <x:c r="C19" s="30" t="str">
        <x:v>VIB-401</x:v>
      </x:c>
      <x:c r="D19" s="30" t="str">
        <x:v>HH</x:v>
      </x:c>
      <x:c r="E19" s="30" t="str">
        <x:v>Pump vibration HH</x:v>
      </x:c>
      <x:c r="F19" s="30" t="n">
        <x:v>7.8</x:v>
      </x:c>
      <x:c r="G19" s="30" t="n">
        <x:v>7</x:v>
      </x:c>
      <x:c r="H19" s="30" t="str">
        <x:v>CHOID</x:v>
      </x:c>
      <x:c r="I19" s="31" t="n">
        <x:v>301</x:v>
      </x:c>
      <x:c r="J19" s="30"/>
      <x:c r="K19" s="30"/>
      <x:c r="L19" s="30"/>
      <x:c r="M19" s="30"/>
      <x:c r="N19" s="30"/>
    </x:row>
    <x:row r="20">
      <x:c r="A20" s="29" t="str">
        <x:v>11:03:05</x:v>
      </x:c>
      <x:c r="B20" s="30" t="str">
        <x:v>R-203</x:v>
      </x:c>
      <x:c r="C20" s="30" t="str">
        <x:v>MTR-203.A</x:v>
      </x:c>
      <x:c r="D20" s="30" t="str">
        <x:v>L</x:v>
      </x:c>
      <x:c r="E20" s="30" t="str">
        <x:v>Motor current low</x:v>
      </x:c>
      <x:c r="F20" s="30" t="n">
        <x:v>14.1</x:v>
      </x:c>
      <x:c r="G20" s="30" t="n">
        <x:v>15</x:v>
      </x:c>
      <x:c r="H20" s="30" t="str">
        <x:v>AUTO</x:v>
      </x:c>
      <x:c r="I20" s="31" t="n">
        <x:v>42</x:v>
      </x:c>
      <x:c r="J20" s="30"/>
      <x:c r="K20" s="30"/>
      <x:c r="L20" s="30"/>
      <x:c r="M20" s="30"/>
      <x:c r="N20" s="30"/>
    </x:row>
    <x:row r="21">
      <x:c r="A21" s="29" t="str">
        <x:v>13:21:49</x:v>
      </x:c>
      <x:c r="B21" s="30" t="str">
        <x:v>CIP-01</x:v>
      </x:c>
      <x:c r="C21" s="30" t="str">
        <x:v>COND-701</x:v>
      </x:c>
      <x:c r="D21" s="30" t="str">
        <x:v>H</x:v>
      </x:c>
      <x:c r="E21" s="30" t="str">
        <x:v>Conductivity out of range</x:v>
      </x:c>
      <x:c r="F21" s="30" t="n">
        <x:v>18.2</x:v>
      </x:c>
      <x:c r="G21" s="30" t="n">
        <x:v>16</x:v>
      </x:c>
      <x:c r="H21" s="30" t="str">
        <x:v>LEEC</x:v>
      </x:c>
      <x:c r="I21" s="31" t="n">
        <x:v>511</x:v>
      </x:c>
      <x:c r="J21" s="30"/>
      <x:c r="K21" s="30"/>
      <x:c r="L21" s="30"/>
      <x:c r="M21" s="30"/>
      <x:c r="N21" s="30"/>
    </x:row>
    <x:row r="22">
      <x:c r="A22" s="29" t="str">
        <x:v>15:40:10</x:v>
      </x:c>
      <x:c r="B22" s="30" t="str">
        <x:v>R-201</x:v>
      </x:c>
      <x:c r="C22" s="30" t="str">
        <x:v>TIC-201.PV</x:v>
      </x:c>
      <x:c r="D22" s="30" t="str">
        <x:v>H</x:v>
      </x:c>
      <x:c r="E22" s="30" t="str">
        <x:v>Reactor Temp HIGH</x:v>
      </x:c>
      <x:c r="F22" s="30" t="n">
        <x:v>82.7</x:v>
      </x:c>
      <x:c r="G22" s="30" t="n">
        <x:v>82</x:v>
      </x:c>
      <x:c r="H22" s="30" t="str">
        <x:v>AUTO</x:v>
      </x:c>
      <x:c r="I22" s="31" t="n">
        <x:v>33</x:v>
      </x:c>
      <x:c r="J22" s="30"/>
      <x:c r="K22" s="30"/>
      <x:c r="L22" s="30"/>
      <x:c r="M22" s="30"/>
      <x:c r="N22" s="30"/>
    </x:row>
    <x:row r="23">
      <x:c r="A23" s="29" t="str">
        <x:v>19:07:51</x:v>
      </x:c>
      <x:c r="B23" s="30" t="str">
        <x:v>P-402</x:v>
      </x:c>
      <x:c r="C23" s="30" t="str">
        <x:v>SEAL-402</x:v>
      </x:c>
      <x:c r="D23" s="30" t="str">
        <x:v>M</x:v>
      </x:c>
      <x:c r="E23" s="30" t="str">
        <x:v>Seal pressure delta</x:v>
      </x:c>
      <x:c r="F23" s="30" t="n">
        <x:v>0.41</x:v>
      </x:c>
      <x:c r="G23" s="30" t="n">
        <x:v>0.5</x:v>
      </x:c>
      <x:c r="H23" s="30" t="str">
        <x:v>HANF</x:v>
      </x:c>
      <x:c r="I23" s="31" t="n">
        <x:v>98</x:v>
      </x:c>
      <x:c r="J23" s="30"/>
      <x:c r="K23" s="30"/>
      <x:c r="L23" s="30"/>
      <x:c r="M23" s="30"/>
      <x:c r="N23" s="30"/>
    </x:row>
    <x:row r="24">
      <x:c r="A24" s="32" t="str">
        <x:v>23:59:02</x:v>
      </x:c>
      <x:c r="B24" s="33" t="str">
        <x:v>R-202</x:v>
      </x:c>
      <x:c r="C24" s="33" t="str">
        <x:v>LEVEL-202</x:v>
      </x:c>
      <x:c r="D24" s="33" t="str">
        <x:v>HH</x:v>
      </x:c>
      <x:c r="E24" s="33" t="str">
        <x:v>Level interlock</x:v>
      </x:c>
      <x:c r="F24" s="33" t="n">
        <x:v>92.4</x:v>
      </x:c>
      <x:c r="G24" s="33" t="n">
        <x:v>90</x:v>
      </x:c>
      <x:c r="H24" s="33" t="str">
        <x:v>JUNGE</x:v>
      </x:c>
      <x:c r="I24" s="34" t="n">
        <x:v>144</x:v>
      </x:c>
      <x:c r="J24" s="30"/>
      <x:c r="K24" s="30"/>
      <x:c r="L24" s="30"/>
      <x:c r="M24" s="30"/>
      <x:c r="N24" s="30"/>
    </x:row>
  </x:sheetData>
  <x:mergeCells>
    <x:mergeCell ref="A1:N2"/>
    <x:mergeCell ref="A4:G4"/>
    <x:mergeCell ref="A15:I15"/>
    <x:mergeCell ref="K4:N4"/>
  </x:mergeCells>
  <x:conditionalFormatting sqref="G6:G12">
    <x:cfRule type="dataBar" priority="1">
      <x:dataBar>
        <x:cfvo type="min"/>
        <x:cfvo type="max"/>
        <x:color rgb="FF156082"/>
      </x:dataBar>
      <x:extLst>
        <x:ext xmlns:x14="http://schemas.microsoft.com/office/spreadsheetml/2009/9/main" uri="{B025F937-C7B1-47D3-B67F-A62EFF666E3E}">
          <x14:id>{571CEB51-CA6B-F99B-5509-A1243319345C}</x14:id>
        </x:ext>
      </x:extLst>
    </x:cfRule>
  </x:conditionalFormatting>
  <x:conditionalFormatting sqref="D17:D24">
    <x:cfRule type="expression" dxfId="5" priority="2">
      <x:formula>D17="HH"</x:formula>
    </x:cfRule>
    <x:cfRule type="expression" dxfId="6" priority="3">
      <x:formula>D17="H"</x:formula>
    </x:cfRule>
  </x:conditionalFormatting>
  <x:conditionalFormatting sqref="I17:I24">
    <x:cfRule type="dataBar" priority="4">
      <x:dataBar>
        <x:cfvo type="min"/>
        <x:cfvo type="max"/>
        <x:color rgb="FF156082"/>
      </x:dataBar>
      <x:extLst>
        <x:ext xmlns:x14="http://schemas.microsoft.com/office/spreadsheetml/2009/9/main" uri="{B025F937-C7B1-47D3-B67F-A62EFF666E3E}">
          <x14:id>{F57A8EDC-B333-F5CC-3607-3B5D38B85824}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db0948948e03451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71CEB51-CA6B-F99B-5509-A1243319345C}">
            <x14:dataBar gradient="1">
              <x14:cfvo type="min"/>
              <x14:cfvo type="max"/>
              <x14:fillColor rgb="FF156082"/>
            </x14:dataBar>
          </x14:cfRule>
          <xm:sqref>G6:G12</xm:sqref>
        </x14:conditionalFormatting>
        <x14:conditionalFormatting>
          <x14:cfRule type="dataBar" priority="4" id="{F57A8EDC-B333-F5CC-3607-3B5D38B85824}">
            <x14:dataBar gradient="1">
              <x14:cfvo type="min"/>
              <x14:cfvo type="max"/>
              <x14:fillColor rgb="FF156082"/>
            </x14:dataBar>
          </x14:cfRule>
          <xm:sqref>I17:I24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7.880000114440918" hidden="0" customWidth="1"/>
    <x:col min="4" max="4" width="4.25" hidden="0" customWidth="1"/>
    <x:col min="5" max="5" width="5.25" hidden="0" customWidth="1"/>
    <x:col min="6" max="6" width="8.130000114440918" hidden="0" customWidth="1"/>
    <x:col min="7" max="7" width="7.880000114440918" hidden="0" customWidth="1"/>
    <x:col min="8" max="8" width="32" hidden="0" customWidth="1"/>
  </x:cols>
  <x:sheetData>
    <x:row r="1">
      <x:c r="A1" s="12" t="str">
        <x:v>표준개념(Standard Concept)</x:v>
      </x:c>
      <x:c r="B1" s="13" t="str">
        <x:v>동의어/표현</x:v>
      </x:c>
      <x:c r="C1" s="13" t="str">
        <x:v>표준단위</x:v>
      </x:c>
      <x:c r="D1" s="13" t="str">
        <x:v>하한</x:v>
      </x:c>
      <x:c r="E1" s="13" t="str">
        <x:v>상한</x:v>
      </x:c>
      <x:c r="F1" s="13" t="str">
        <x:v>Data Type</x:v>
      </x:c>
      <x:c r="G1" s="13" t="str">
        <x:v>공정영역</x:v>
      </x:c>
      <x:c r="H1" s="14" t="str">
        <x:v>비고</x:v>
      </x:c>
    </x:row>
    <x:row r="2">
      <x:c r="A2" s="29" t="str">
        <x:v>반응온도</x:v>
      </x:c>
      <x:c r="B2" s="30" t="str">
        <x:v>Temp / T-Reactor / 반응온도(℃)</x:v>
      </x:c>
      <x:c r="C2" s="30" t="str">
        <x:v>°C</x:v>
      </x:c>
      <x:c r="D2" s="30" t="n">
        <x:v>72</x:v>
      </x:c>
      <x:c r="E2" s="30" t="n">
        <x:v>82</x:v>
      </x:c>
      <x:c r="F2" s="30" t="str">
        <x:v>float</x:v>
      </x:c>
      <x:c r="G2" s="30" t="str">
        <x:v>반응</x:v>
      </x:c>
      <x:c r="H2" s="31" t="str">
        <x:v>표준 KPI</x:v>
      </x:c>
    </x:row>
    <x:row r="3">
      <x:c r="A3" s="29" t="str">
        <x:v>압력</x:v>
      </x:c>
      <x:c r="B3" s="30" t="str">
        <x:v>P / Pressure / 압력(bar)</x:v>
      </x:c>
      <x:c r="C3" s="30" t="str">
        <x:v>bar</x:v>
      </x:c>
      <x:c r="D3" s="30" t="n">
        <x:v>1.5</x:v>
      </x:c>
      <x:c r="E3" s="30" t="n">
        <x:v>2.4</x:v>
      </x:c>
      <x:c r="F3" s="30" t="str">
        <x:v>float</x:v>
      </x:c>
      <x:c r="G3" s="30" t="str">
        <x:v>반응</x:v>
      </x:c>
      <x:c r="H3" s="31" t="str">
        <x:v>Gauge/Abs 혼재 가능</x:v>
      </x:c>
    </x:row>
    <x:row r="4">
      <x:c r="A4" s="29" t="str">
        <x:v>교반속도</x:v>
      </x:c>
      <x:c r="B4" s="30" t="str">
        <x:v>RPM / Agitator Speed</x:v>
      </x:c>
      <x:c r="C4" s="30" t="str">
        <x:v>rpm</x:v>
      </x:c>
      <x:c r="D4" s="30" t="n">
        <x:v>180</x:v>
      </x:c>
      <x:c r="E4" s="30" t="n">
        <x:v>260</x:v>
      </x:c>
      <x:c r="F4" s="30" t="str">
        <x:v>int</x:v>
      </x:c>
      <x:c r="G4" s="30" t="str">
        <x:v>반응</x:v>
      </x:c>
      <x:c r="H4" s="31" t="str">
        <x:v>설비별 허용범위 다름</x:v>
      </x:c>
    </x:row>
    <x:row r="5">
      <x:c r="A5" s="29" t="str">
        <x:v>점도</x:v>
      </x:c>
      <x:c r="B5" s="30" t="str">
        <x:v>Visc. / η / 점도</x:v>
      </x:c>
      <x:c r="C5" s="30" t="str">
        <x:v>cP</x:v>
      </x:c>
      <x:c r="D5" s="30" t="n">
        <x:v>110</x:v>
      </x:c>
      <x:c r="E5" s="30" t="n">
        <x:v>190</x:v>
      </x:c>
      <x:c r="F5" s="30" t="str">
        <x:v>float</x:v>
      </x:c>
      <x:c r="G5" s="30" t="str">
        <x:v>품질</x:v>
      </x:c>
      <x:c r="H5" s="31" t="str">
        <x:v>25℃ 기준</x:v>
      </x:c>
    </x:row>
    <x:row r="6">
      <x:c r="A6" s="29" t="str">
        <x:v>수율</x:v>
      </x:c>
      <x:c r="B6" s="30" t="str">
        <x:v>Yield / YLD / 수율(%)</x:v>
      </x:c>
      <x:c r="C6" s="30" t="str">
        <x:v>%</x:v>
      </x:c>
      <x:c r="D6" s="30" t="n">
        <x:v>94</x:v>
      </x:c>
      <x:c r="E6" s="30" t="n">
        <x:v>100</x:v>
      </x:c>
      <x:c r="F6" s="30" t="str">
        <x:v>float</x:v>
      </x:c>
      <x:c r="G6" s="30" t="str">
        <x:v>생산</x:v>
      </x:c>
      <x:c r="H6" s="31" t="str">
        <x:v>계산값</x:v>
      </x:c>
    </x:row>
    <x:row r="7">
      <x:c r="A7" s="29" t="str">
        <x:v>에너지</x:v>
      </x:c>
      <x:c r="B7" s="30" t="str">
        <x:v>Power / kWh / 사용전력</x:v>
      </x:c>
      <x:c r="C7" s="30" t="str">
        <x:v>kWh</x:v>
      </x:c>
      <x:c r="D7" s="30" t="n">
        <x:v>0</x:v>
      </x:c>
      <x:c r="E7" s="30" t="n">
        <x:v>99999</x:v>
      </x:c>
      <x:c r="F7" s="30" t="str">
        <x:v>float</x:v>
      </x:c>
      <x:c r="G7" s="30" t="str">
        <x:v>설비</x:v>
      </x:c>
      <x:c r="H7" s="31" t="str">
        <x:v>누적/구간 사용량 구분</x:v>
      </x:c>
    </x:row>
    <x:row r="8">
      <x:c r="A8" s="29" t="str">
        <x:v>불량수</x:v>
      </x:c>
      <x:c r="B8" s="30" t="str">
        <x:v>NG / Reject / Scrap Qty</x:v>
      </x:c>
      <x:c r="C8" s="30" t="str">
        <x:v>EA</x:v>
      </x:c>
      <x:c r="D8" s="30" t="n">
        <x:v>0</x:v>
      </x:c>
      <x:c r="E8" s="30" t="n">
        <x:v>5</x:v>
      </x:c>
      <x:c r="F8" s="30" t="str">
        <x:v>int</x:v>
      </x:c>
      <x:c r="G8" s="30" t="str">
        <x:v>품질</x:v>
      </x:c>
      <x:c r="H8" s="31" t="str">
        <x:v>LOT 기준</x:v>
      </x:c>
    </x:row>
    <x:row r="9">
      <x:c r="A9" s="29" t="str">
        <x:v>Lot No</x:v>
      </x:c>
      <x:c r="B9" s="30" t="str">
        <x:v>LOT / Batch / 제조번호</x:v>
      </x:c>
      <x:c r="C9" s="30" t="str">
        <x:v>-</x:v>
      </x:c>
      <x:c r="D9" s="30"/>
      <x:c r="E9" s="30"/>
      <x:c r="F9" s="30" t="str">
        <x:v>text</x:v>
      </x:c>
      <x:c r="G9" s="30" t="str">
        <x:v>공통</x:v>
      </x:c>
      <x:c r="H9" s="31" t="str">
        <x:v>식별자</x:v>
      </x:c>
    </x:row>
    <x:row r="10">
      <x:c r="A10" s="29" t="str">
        <x:v>설비ID</x:v>
      </x:c>
      <x:c r="B10" s="30" t="str">
        <x:v>EQP / Machine / 설비번호</x:v>
      </x:c>
      <x:c r="C10" s="30" t="str">
        <x:v>-</x:v>
      </x:c>
      <x:c r="D10" s="30"/>
      <x:c r="E10" s="30"/>
      <x:c r="F10" s="30" t="str">
        <x:v>text</x:v>
      </x:c>
      <x:c r="G10" s="30" t="str">
        <x:v>공통</x:v>
      </x:c>
      <x:c r="H10" s="31" t="str">
        <x:v>식별자</x:v>
      </x:c>
    </x:row>
    <x:row r="11">
      <x:c r="A11" s="32" t="str">
        <x:v>검사판정</x:v>
      </x:c>
      <x:c r="B11" s="33" t="str">
        <x:v>OK/NG / Pass/Fail / 합부</x:v>
      </x:c>
      <x:c r="C11" s="33" t="str">
        <x:v>-</x:v>
      </x:c>
      <x:c r="D11" s="33"/>
      <x:c r="E11" s="33"/>
      <x:c r="F11" s="33" t="str">
        <x:v>enum</x:v>
      </x:c>
      <x:c r="G11" s="33" t="str">
        <x:v>품질</x:v>
      </x:c>
      <x:c r="H11" s="34" t="str">
        <x:v>색상 의미 포함</x:v>
      </x:c>
    </x:row>
  </x:sheetData>
  <x:pageMargins left="0.7" right="0.7" top="0.75" bottom="0.75" header="0.3" footer="0.3"/>
</x:worksheet>
</file>