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3e00e0c50b41b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생산일보" sheetId="1" r:id="Ra69e49cefef24d40"/>
    <x:sheet xmlns:r="http://schemas.openxmlformats.org/officeDocument/2006/relationships" name="현장코드" sheetId="2" r:id="R1cd3e993100342c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7"/>
      <x:color rgb="FFFFFFFF"/>
      <x:name val="Carlito"/>
    </x:font>
    <x:font>
      <x:b/>
      <x:sz val="11"/>
      <x:color rgb="FFFFFFFF"/>
      <x:name val="Carlito"/>
    </x:font>
    <x:font>
      <x:b/>
      <x:sz val="11"/>
      <x:color rgb="FF1F1F1F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4472C4"/>
      </x:patternFill>
    </x:fill>
    <x:fill>
      <x:patternFill patternType="solid">
        <x:fgColor rgb="FFD9E2F3"/>
      </x:patternFill>
    </x:fill>
    <x:fill>
      <x:patternFill patternType="solid">
        <x:fgColor rgb="FFDDEBF7"/>
      </x:patternFill>
    </x:fill>
    <x:fill>
      <x:patternFill patternType="solid">
        <x:fgColor rgb="FFE7E6E6"/>
      </x:patternFill>
    </x:fill>
  </x:fills>
  <x:borders count="18">
    <x:border/>
    <x:border/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</x:borders>
  <x:cellStyleXfs count="1">
    <x:xf numFmtId="0" fontId="0" fillId="0" borderId="0"/>
  </x:cellStyleXfs>
  <x:cellXfs count="12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10" xfId="0" applyNumberFormat="1" applyFont="1" applyFill="1" applyBorder="1"/>
    <x:xf numFmtId="0" fontId="0" fillId="3" borderId="11" xfId="0" applyNumberFormat="1" applyFont="1" applyFill="1" applyBorder="1"/>
    <x:xf numFmtId="0" fontId="0" fillId="3" borderId="12" xfId="0" applyNumberFormat="1" applyFont="1" applyFill="1" applyBorder="1"/>
    <x:xf numFmtId="0" fontId="0" fillId="4" borderId="5" xfId="0" applyNumberFormat="1" applyFont="1" applyFill="1" applyBorder="1"/>
    <x:xf numFmtId="0" fontId="0" fillId="4" borderId="0" xfId="0" applyNumberFormat="1" applyFont="1" applyFill="1" applyBorder="1"/>
    <x:xf numFmtId="0" fontId="0" fillId="4" borderId="6" xfId="0" applyNumberFormat="1" applyFont="1" applyFill="1" applyBorder="1"/>
    <x:xf numFmtId="0" fontId="0" fillId="4" borderId="13" xfId="0" applyNumberFormat="1" applyFont="1" applyFill="1" applyBorder="1"/>
    <x:xf numFmtId="0" fontId="0" fillId="4" borderId="1" xfId="0" applyNumberFormat="1" applyFont="1" applyFill="1" applyBorder="1"/>
    <x:xf numFmtId="0" fontId="0" fillId="4" borderId="14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9" xfId="0" applyNumberFormat="1" applyFont="1" applyFill="1" applyBorder="1"/>
    <x:xf numFmtId="0" fontId="0" fillId="5" borderId="15" xfId="0" applyNumberFormat="1" applyFont="1" applyFill="1" applyBorder="1"/>
    <x:xf numFmtId="0" fontId="0" fillId="5" borderId="16" xfId="0" applyNumberFormat="1" applyFont="1" applyFill="1" applyBorder="1"/>
    <x:xf numFmtId="0" fontId="0" fillId="5" borderId="17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4" borderId="5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0" fillId="4" borderId="6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9" xfId="0" applyNumberFormat="1" applyFont="1" applyFill="1" applyBorder="1" applyAlignment="1">
      <x:alignment wrapText="1"/>
    </x:xf>
    <x:xf numFmtId="0" fontId="0" fillId="3" borderId="10" xfId="0" applyNumberFormat="1" applyFont="1" applyFill="1" applyBorder="1" applyAlignment="1">
      <x:alignment wrapText="1"/>
    </x:xf>
    <x:xf numFmtId="0" fontId="0" fillId="3" borderId="11" xfId="0" applyNumberFormat="1" applyFont="1" applyFill="1" applyBorder="1" applyAlignment="1">
      <x:alignment wrapText="1"/>
    </x:xf>
    <x:xf numFmtId="0" fontId="0" fillId="3" borderId="12" xfId="0" applyNumberFormat="1" applyFont="1" applyFill="1" applyBorder="1" applyAlignment="1">
      <x:alignment wrapText="1"/>
    </x:xf>
    <x:xf numFmtId="0" fontId="0" fillId="4" borderId="13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4" borderId="14" xfId="0" applyNumberFormat="1" applyFont="1" applyFill="1" applyBorder="1" applyAlignment="1">
      <x:alignment wrapText="1"/>
    </x:xf>
    <x:xf numFmtId="0" fontId="0" fillId="5" borderId="15" xfId="0" applyNumberFormat="1" applyFont="1" applyFill="1" applyBorder="1" applyAlignment="1">
      <x:alignment wrapText="1"/>
    </x:xf>
    <x:xf numFmtId="0" fontId="0" fillId="5" borderId="16" xfId="0" applyNumberFormat="1" applyFont="1" applyFill="1" applyBorder="1" applyAlignment="1">
      <x:alignment wrapText="1"/>
    </x:xf>
    <x:xf numFmtId="0" fontId="0" fillId="5" borderId="17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center" wrapText="1"/>
    </x:xf>
    <x:xf numFmtId="0" fontId="2" fillId="6" borderId="0" xfId="0" applyNumberFormat="1" applyFont="1" applyFill="1" applyBorder="1" applyAlignment="1">
      <x:alignment horizontal="center" vertical="center" wrapText="1"/>
    </x:xf>
    <x:xf numFmtId="0" fontId="0" fillId="6" borderId="1" xfId="0" applyNumberFormat="1" applyFont="1" applyFill="1" applyBorder="1"/>
    <x:xf numFmtId="0" fontId="2" fillId="6" borderId="1" xfId="0" applyNumberFormat="1" applyFont="1" applyFill="1" applyBorder="1"/>
    <x:xf numFmtId="0" fontId="2" fillId="6" borderId="1" xfId="0" applyNumberFormat="1" applyFont="1" applyFill="1" applyBorder="1" applyAlignment="1">
      <x:alignment wrapText="1"/>
    </x:xf>
    <x:xf numFmtId="0" fontId="2" fillId="6" borderId="1" xfId="0" applyNumberFormat="1" applyFont="1" applyFill="1" applyBorder="1" applyAlignment="1">
      <x:alignment horizontal="center" wrapText="1"/>
    </x:xf>
    <x:xf numFmtId="0" fontId="2" fillId="6" borderId="1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7" borderId="1" xfId="0" applyNumberFormat="1" applyFont="1" applyFill="1" applyBorder="1"/>
    <x:xf numFmtId="0" fontId="3" fillId="7" borderId="1" xfId="0" applyNumberFormat="1" applyFont="1" applyFill="1" applyBorder="1"/>
    <x:xf numFmtId="0" fontId="3" fillId="7" borderId="1" xfId="0" applyNumberFormat="1" applyFont="1" applyFill="1" applyBorder="1" applyAlignment="1">
      <x:alignment wrapText="1"/>
    </x:xf>
    <x:xf numFmtId="0" fontId="3" fillId="7" borderId="1" xfId="0" applyNumberFormat="1" applyFont="1" applyFill="1" applyBorder="1" applyAlignment="1">
      <x:alignment horizontal="center" wrapText="1"/>
    </x:xf>
    <x:xf numFmtId="0" fontId="3" fillId="7" borderId="1" xfId="0" applyNumberFormat="1" applyFont="1" applyFill="1" applyBorder="1" applyAlignment="1">
      <x:alignment horizontal="center" vertical="center" wrapText="1"/>
    </x:xf>
    <x:xf numFmtId="0" fontId="2" fillId="6" borderId="2" xfId="0" applyNumberFormat="1" applyFont="1" applyFill="1" applyBorder="1" applyAlignment="1">
      <x:alignment horizontal="center" vertical="center" wrapText="1"/>
    </x:xf>
    <x:xf numFmtId="0" fontId="2" fillId="6" borderId="3" xfId="0" applyNumberFormat="1" applyFont="1" applyFill="1" applyBorder="1" applyAlignment="1">
      <x:alignment horizontal="center" vertical="center" wrapText="1"/>
    </x:xf>
    <x:xf numFmtId="0" fontId="2" fillId="6" borderId="4" xfId="0" applyNumberFormat="1" applyFont="1" applyFill="1" applyBorder="1" applyAlignment="1">
      <x:alignment horizontal="center" vertical="center" wrapText="1"/>
    </x:xf>
    <x:xf numFmtId="0" fontId="3" fillId="7" borderId="5" xfId="0" applyNumberFormat="1" applyFont="1" applyFill="1" applyBorder="1" applyAlignment="1">
      <x:alignment horizontal="center" vertical="center" wrapText="1"/>
    </x:xf>
    <x:xf numFmtId="0" fontId="3" fillId="7" borderId="6" xfId="0" applyNumberFormat="1" applyFont="1" applyFill="1" applyBorder="1" applyAlignment="1">
      <x:alignment horizontal="center" vertical="center" wrapText="1"/>
    </x:xf>
    <x:xf numFmtId="0" fontId="2" fillId="6" borderId="10" xfId="0" applyNumberFormat="1" applyFont="1" applyFill="1" applyBorder="1" applyAlignment="1">
      <x:alignment horizontal="center" vertical="center" wrapText="1"/>
    </x:xf>
    <x:xf numFmtId="0" fontId="2" fillId="6" borderId="11" xfId="0" applyNumberFormat="1" applyFont="1" applyFill="1" applyBorder="1" applyAlignment="1">
      <x:alignment horizontal="center" vertical="center" wrapText="1"/>
    </x:xf>
    <x:xf numFmtId="0" fontId="2" fillId="6" borderId="12" xfId="0" applyNumberFormat="1" applyFont="1" applyFill="1" applyBorder="1" applyAlignment="1">
      <x:alignment horizontal="center" vertical="center" wrapText="1"/>
    </x:xf>
    <x:xf numFmtId="0" fontId="3" fillId="7" borderId="13" xfId="0" applyNumberFormat="1" applyFont="1" applyFill="1" applyBorder="1" applyAlignment="1">
      <x:alignment horizontal="center" vertical="center" wrapText="1"/>
    </x:xf>
    <x:xf numFmtId="0" fontId="3" fillId="7" borderId="14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0" fillId="8" borderId="8" xfId="0" applyNumberFormat="1" applyFont="1" applyFill="1" applyBorder="1"/>
    <x:xf numFmtId="0" fontId="0" fillId="8" borderId="1" xfId="0" applyNumberFormat="1" applyFont="1" applyFill="1" applyBorder="1"/>
    <x:xf numFmtId="0" fontId="0" fillId="8" borderId="16" xfId="0" applyNumberFormat="1" applyFont="1" applyFill="1" applyBorder="1"/>
    <x:xf numFmtId="0" fontId="0" fillId="4" borderId="8" xfId="0" applyNumberFormat="1" applyFont="1" applyFill="1" applyBorder="1"/>
    <x:xf numFmtId="0" fontId="0" fillId="4" borderId="16" xfId="0" applyNumberFormat="1" applyFont="1" applyFill="1" applyBorder="1"/>
    <x:xf numFmtId="0" fontId="0" fillId="9" borderId="0" xfId="0" applyNumberFormat="1" applyFont="1" applyFill="1" applyBorder="1"/>
    <x:xf numFmtId="0" fontId="0" fillId="9" borderId="8" xfId="0" applyNumberFormat="1" applyFont="1" applyFill="1" applyBorder="1"/>
    <x:xf numFmtId="0" fontId="0" fillId="9" borderId="1" xfId="0" applyNumberFormat="1" applyFont="1" applyFill="1" applyBorder="1"/>
    <x:xf numFmtId="0" fontId="0" fillId="9" borderId="16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8" borderId="8" xfId="0" applyNumberFormat="1" applyFont="1" applyFill="1" applyBorder="1" applyAlignment="1">
      <x:alignment wrapText="1"/>
    </x:xf>
    <x:xf numFmtId="0" fontId="0" fillId="4" borderId="8" xfId="0" applyNumberFormat="1" applyFont="1" applyFill="1" applyBorder="1" applyAlignment="1">
      <x:alignment wrapText="1"/>
    </x:xf>
    <x:xf numFmtId="0" fontId="0" fillId="9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8" borderId="1" xfId="0" applyNumberFormat="1" applyFont="1" applyFill="1" applyBorder="1" applyAlignment="1">
      <x:alignment wrapText="1"/>
    </x:xf>
    <x:xf numFmtId="0" fontId="0" fillId="9" borderId="1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8" borderId="16" xfId="0" applyNumberFormat="1" applyFont="1" applyFill="1" applyBorder="1" applyAlignment="1">
      <x:alignment wrapText="1"/>
    </x:xf>
    <x:xf numFmtId="0" fontId="0" fillId="4" borderId="16" xfId="0" applyNumberFormat="1" applyFont="1" applyFill="1" applyBorder="1" applyAlignment="1">
      <x:alignment wrapText="1"/>
    </x:xf>
    <x:xf numFmtId="0" fontId="0" fillId="9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9C0006"/>
      </x:font>
      <x:fill>
        <x:patternFill patternType="solid">
          <x:bgColor rgb="FFFFC7CE"/>
        </x:patternFill>
      </x:fill>
    </x:dxf>
    <x:dxf>
      <x:font>
        <x:b/>
        <x:color rgb="FFC00000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cae0948bda44f4" /><Relationship Type="http://schemas.openxmlformats.org/officeDocument/2006/relationships/theme" Target="/xl/theme/theme1.xml" Id="R55d65262d7444f07" /><Relationship Type="http://schemas.openxmlformats.org/officeDocument/2006/relationships/sharedStrings" Target="/xl/sharedStrings.xml" Id="Rd7f3c707017e4172" /><Relationship Type="http://schemas.openxmlformats.org/officeDocument/2006/relationships/worksheet" Target="/xl/worksheets/sheet1.xml" Id="Ra69e49cefef24d40" /><Relationship Type="http://schemas.openxmlformats.org/officeDocument/2006/relationships/worksheet" Target="/xl/worksheets/sheet2.xml" Id="R1cd3e993100342c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6c7bfba277c34754" /><Relationship Type="http://schemas.openxmlformats.org/officeDocument/2006/relationships/chart" Target="/xl/drawings/charts/chart1.xml" Id="R1aeba683ce3d4ad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LOT별 반응온도 / 점도</a:t>
            </a:r>
          </a:p>
        </c:rich>
      </c:tx>
    </c:title>
    <c:plotArea>
      <c:lineChart>
        <c:grouping val="standard"/>
        <c:ser>
          <c:idx val="0"/>
          <c:order val="0"/>
          <c:tx>
            <c:v>Series 1</c:v>
          </c:tx>
          <c:marker>
            <c:symbol val="none"/>
          </c:marker>
          <c:cat>
            <c:strLit>
              <c:ptCount val="1"/>
              <c:pt idx="0">
                <c:v>Item 1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</c:ser>
        <c:ser>
          <c:idx val="1"/>
          <c:order val="1"/>
          <c:tx>
            <c:v>반응온도(℃)</c:v>
          </c:tx>
          <c:marker>
            <c:symbol val="none"/>
          </c:marker>
          <c:cat>
            <c:strRef>
              <c:f>'생산일보'!$A$11:$A$18</c:f>
              <c:strCache>
                <c:ptCount val="1"/>
                <c:pt idx="0">
                  <c:v>Item 1</c:v>
                </c:pt>
              </c:strCache>
            </c:strRef>
          </c:cat>
          <c:val>
            <c:numRef>
              <c:f>'생산일보'!$F$11:$F$18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점도(cP)</c:v>
          </c:tx>
          <c:marker>
            <c:symbol val="none"/>
          </c:marker>
          <c:cat>
            <c:strRef>
              <c:f>'생산일보'!$A$11:$A$18</c:f>
              <c:strCache>
                <c:ptCount val="1"/>
                <c:pt idx="0">
                  <c:v>Item 1</c:v>
                </c:pt>
              </c:strCache>
            </c:strRef>
          </c:cat>
          <c:val>
            <c:numRef>
              <c:f>'생산일보'!$K$11:$K$18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23</xdr:col>
      <xdr:colOff>0</xdr:colOff>
      <xdr:row>7</xdr:row>
      <xdr:rowOff>0</xdr:rowOff>
    </xdr:from>
    <xdr:to>
      <xdr:col>32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aeba683ce3d4ad5"/>
        </a:graphicData>
      </a:graphic>
    </xdr:graphicFrame>
    <xdr:clientData/>
  </xdr:twoCellAnchor>
  <xdr:oneCellAnchor>
    <xdr:from>
      <xdr:col>23</xdr:col>
      <xdr:colOff>0</xdr:colOff>
      <xdr:row>2</xdr:row>
      <xdr:rowOff>0</xdr:rowOff>
    </xdr:from>
    <xdr:ext cx="4000500" cy="1714500"/>
    <xdr:pic>
      <xdr:nvPicPr>
        <xdr:cNvPr id="2" name="93949d29-4d14-45b0-8c3e-c322b78ce06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c7bfba277c3475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c7b73f8470541b2" /></Relationships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1" hidden="0" customWidth="1"/>
    <x:col min="3" max="3" width="21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12" hidden="0" customWidth="1"/>
    <x:col min="22" max="22" width="12" hidden="0" customWidth="1"/>
  </x:cols>
  <x:sheetData>
    <x:row r="1">
      <x:c r="A1" s="6" t="str">
        <x:v>중합2팀 생산일보 / Reactor Operation Daily Sheet — 2026.08</x:v>
      </x:c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  <x:c r="N1" s="6"/>
      <x:c r="O1" s="6"/>
      <x:c r="P1" s="6"/>
      <x:c r="Q1" s="6"/>
      <x:c r="R1" s="6"/>
      <x:c r="S1" s="6"/>
      <x:c r="T1" s="6"/>
      <x:c r="U1" s="6"/>
      <x:c r="V1" s="6"/>
    </x:row>
    <x:row r="2">
      <x:c r="A2" s="6"/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  <x:c r="U2" s="6"/>
      <x:c r="V2" s="6"/>
    </x:row>
    <x:row r="3">
      <x:c r="A3" s="105"/>
      <x:c r="B3" s="105"/>
      <x:c r="C3" s="105"/>
      <x:c r="D3" s="105"/>
      <x:c r="E3" s="105"/>
      <x:c r="F3" s="105"/>
      <x:c r="G3" s="105"/>
      <x:c r="H3" s="105"/>
      <x:c r="I3" s="105"/>
      <x:c r="J3" s="105"/>
      <x:c r="K3" s="105"/>
      <x:c r="L3" s="105"/>
      <x:c r="M3" s="105"/>
      <x:c r="N3" s="105"/>
      <x:c r="O3" s="105"/>
      <x:c r="P3" s="105"/>
      <x:c r="Q3" s="105"/>
      <x:c r="R3" s="105"/>
      <x:c r="S3" s="105"/>
      <x:c r="T3" s="105"/>
      <x:c r="U3" s="105"/>
      <x:c r="V3" s="105"/>
    </x:row>
    <x:row r="4">
      <x:c r="A4" s="47" t="str">
        <x:v>문서번호</x:v>
      </x:c>
      <x:c r="B4" s="48" t="str">
        <x:v>PRD-RX-017</x:v>
      </x:c>
      <x:c r="C4" s="48" t="str">
        <x:v>공정</x:v>
      </x:c>
      <x:c r="D4" s="48" t="str">
        <x:v>중합/혼합</x:v>
      </x:c>
      <x:c r="E4" s="48" t="str">
        <x:v>Shift</x:v>
      </x:c>
      <x:c r="F4" s="48" t="str">
        <x:v>A/B/C</x:v>
      </x:c>
      <x:c r="G4" s="48" t="str">
        <x:v>Rev.</x:v>
      </x:c>
      <x:c r="H4" s="49" t="str">
        <x:v>3.7</x:v>
      </x:c>
      <x:c r="I4" s="105"/>
      <x:c r="J4" s="105"/>
      <x:c r="K4" s="105"/>
      <x:c r="L4" s="105"/>
      <x:c r="M4" s="105"/>
      <x:c r="N4" s="105"/>
      <x:c r="O4" s="105"/>
      <x:c r="P4" s="105"/>
      <x:c r="Q4" s="105"/>
      <x:c r="R4" s="105"/>
      <x:c r="S4" s="105"/>
      <x:c r="T4" s="105"/>
      <x:c r="U4" s="105"/>
      <x:c r="V4" s="105"/>
    </x:row>
    <x:row r="5">
      <x:c r="A5" s="50" t="str">
        <x:v>작성부서</x:v>
      </x:c>
      <x:c r="B5" s="51" t="str">
        <x:v>제조2팀</x:v>
      </x:c>
      <x:c r="C5" s="51" t="str">
        <x:v>기준Recipe</x:v>
      </x:c>
      <x:c r="D5" s="51" t="str">
        <x:v>RCP-44A</x:v>
      </x:c>
      <x:c r="E5" s="51" t="str">
        <x:v>원천</x:v>
      </x:c>
      <x:c r="F5" s="51" t="str">
        <x:v>PLC+수기</x:v>
      </x:c>
      <x:c r="G5" s="51" t="str">
        <x:v>단위계</x:v>
      </x:c>
      <x:c r="H5" s="52" t="str">
        <x:v>현장단위</x:v>
      </x:c>
      <x:c r="I5" s="105"/>
      <x:c r="J5" s="105"/>
      <x:c r="K5" s="105"/>
      <x:c r="L5" s="105"/>
      <x:c r="M5" s="105"/>
      <x:c r="N5" s="105"/>
      <x:c r="O5" s="105"/>
      <x:c r="P5" s="105"/>
      <x:c r="Q5" s="105"/>
      <x:c r="R5" s="105"/>
      <x:c r="S5" s="105"/>
      <x:c r="T5" s="105"/>
      <x:c r="U5" s="105"/>
      <x:c r="V5" s="105"/>
    </x:row>
    <x:row r="6">
      <x:c r="A6" s="53" t="str">
        <x:v>색상범례</x:v>
      </x:c>
      <x:c r="B6" s="54" t="str">
        <x:v>파랑=PLC</x:v>
      </x:c>
      <x:c r="C6" s="54" t="str">
        <x:v>노랑=수기</x:v>
      </x:c>
      <x:c r="D6" s="54" t="str">
        <x:v>회색=수식</x:v>
      </x:c>
      <x:c r="E6" s="54" t="str">
        <x:v>빨강=이탈</x:v>
      </x:c>
      <x:c r="F6" s="54" t="str"/>
      <x:c r="G6" s="54" t="str"/>
      <x:c r="H6" s="55" t="str"/>
      <x:c r="I6" s="105"/>
      <x:c r="J6" s="105"/>
      <x:c r="K6" s="105"/>
      <x:c r="L6" s="105"/>
      <x:c r="M6" s="105"/>
      <x:c r="N6" s="105"/>
      <x:c r="O6" s="105"/>
      <x:c r="P6" s="105"/>
      <x:c r="Q6" s="105"/>
      <x:c r="R6" s="105"/>
      <x:c r="S6" s="105"/>
      <x:c r="T6" s="105"/>
      <x:c r="U6" s="105"/>
      <x:c r="V6" s="105"/>
    </x:row>
    <x:row r="7">
      <x:c r="A7" s="105"/>
      <x:c r="B7" s="105"/>
      <x:c r="C7" s="105"/>
      <x:c r="D7" s="105"/>
      <x:c r="E7" s="105"/>
      <x:c r="F7" s="105"/>
      <x:c r="G7" s="105"/>
      <x:c r="H7" s="105"/>
      <x:c r="I7" s="105"/>
      <x:c r="J7" s="105"/>
      <x:c r="K7" s="105"/>
      <x:c r="L7" s="105"/>
      <x:c r="M7" s="105"/>
      <x:c r="N7" s="105"/>
      <x:c r="O7" s="105"/>
      <x:c r="P7" s="105"/>
      <x:c r="Q7" s="105"/>
      <x:c r="R7" s="105"/>
      <x:c r="S7" s="105"/>
      <x:c r="T7" s="105"/>
      <x:c r="U7" s="105"/>
      <x:c r="V7" s="105"/>
    </x:row>
    <x:row r="8">
      <x:c r="A8" s="85" t="str">
        <x:v>LOT / 제조번호</x:v>
      </x:c>
      <x:c r="B8" s="86" t="str">
        <x:v>설비</x:v>
      </x:c>
      <x:c r="C8" s="86"/>
      <x:c r="D8" s="86" t="str">
        <x:v>운전기준</x:v>
      </x:c>
      <x:c r="E8" s="86"/>
      <x:c r="F8" s="86" t="str">
        <x:v>반응조건 / Reaction</x:v>
      </x:c>
      <x:c r="G8" s="86"/>
      <x:c r="H8" s="86"/>
      <x:c r="I8" s="86" t="str">
        <x:v>원료량 / Feed</x:v>
      </x:c>
      <x:c r="J8" s="86"/>
      <x:c r="K8" s="86" t="str">
        <x:v>품질 / QC</x:v>
      </x:c>
      <x:c r="L8" s="86"/>
      <x:c r="M8" s="86"/>
      <x:c r="N8" s="86" t="str">
        <x:v>에너지 / Utility</x:v>
      </x:c>
      <x:c r="O8" s="86"/>
      <x:c r="P8" s="86"/>
      <x:c r="Q8" s="86" t="str">
        <x:v>월간 누적(가로반복)</x:v>
      </x:c>
      <x:c r="R8" s="86"/>
      <x:c r="S8" s="86"/>
      <x:c r="T8" s="86" t="str">
        <x:v>검토</x:v>
      </x:c>
      <x:c r="U8" s="86"/>
      <x:c r="V8" s="87"/>
    </x:row>
    <x:row r="9">
      <x:c r="A9" s="88"/>
      <x:c r="B9" s="79" t="str">
        <x:v>반응기</x:v>
      </x:c>
      <x:c r="C9" s="79" t="str">
        <x:v>원료</x:v>
      </x:c>
      <x:c r="D9" s="79" t="str">
        <x:v>Recipe</x:v>
      </x:c>
      <x:c r="E9" s="79" t="str">
        <x:v>RPM</x:v>
      </x:c>
      <x:c r="F9" s="79" t="str">
        <x:v>반응온도</x:v>
      </x:c>
      <x:c r="G9" s="79" t="str">
        <x:v>압력</x:v>
      </x:c>
      <x:c r="H9" s="79" t="str">
        <x:v>수분</x:v>
      </x:c>
      <x:c r="I9" s="79" t="str">
        <x:v>투입량</x:v>
      </x:c>
      <x:c r="J9" s="79" t="str">
        <x:v>산출량</x:v>
      </x:c>
      <x:c r="K9" s="79" t="str">
        <x:v>점도</x:v>
      </x:c>
      <x:c r="L9" s="79" t="str">
        <x:v>고형분</x:v>
      </x:c>
      <x:c r="M9" s="79" t="str">
        <x:v>불량</x:v>
      </x:c>
      <x:c r="N9" s="79" t="str">
        <x:v>전력</x:v>
      </x:c>
      <x:c r="O9" s="79" t="str">
        <x:v>Yield</x:v>
      </x:c>
      <x:c r="P9" s="79" t="str">
        <x:v>판정</x:v>
      </x:c>
      <x:c r="Q9" s="79" t="str">
        <x:v>6월</x:v>
      </x:c>
      <x:c r="R9" s="79" t="str">
        <x:v>7월</x:v>
      </x:c>
      <x:c r="S9" s="79" t="str">
        <x:v>8월</x:v>
      </x:c>
      <x:c r="T9" s="79" t="str">
        <x:v>작업자</x:v>
      </x:c>
      <x:c r="U9" s="79" t="str">
        <x:v>QA</x:v>
      </x:c>
      <x:c r="V9" s="89" t="str">
        <x:v>전자서명</x:v>
      </x:c>
    </x:row>
    <x:row r="10">
      <x:c r="A10" s="88"/>
      <x:c r="B10" s="79"/>
      <x:c r="C10" s="79"/>
      <x:c r="D10" s="79"/>
      <x:c r="E10" s="79"/>
      <x:c r="F10" s="79" t="str">
        <x:v>PV (℃)</x:v>
      </x:c>
      <x:c r="G10" s="79" t="str">
        <x:v>P(bar)</x:v>
      </x:c>
      <x:c r="H10" s="79" t="str">
        <x:v>Moist.(ppm)</x:v>
      </x:c>
      <x:c r="I10" s="79" t="str">
        <x:v>kg</x:v>
      </x:c>
      <x:c r="J10" s="79" t="str">
        <x:v>kg</x:v>
      </x:c>
      <x:c r="K10" s="79" t="str">
        <x:v>cP@25℃</x:v>
      </x:c>
      <x:c r="L10" s="79" t="str">
        <x:v>wt%</x:v>
      </x:c>
      <x:c r="M10" s="79" t="str">
        <x:v>EA</x:v>
      </x:c>
      <x:c r="N10" s="79" t="str">
        <x:v>kWh</x:v>
      </x:c>
      <x:c r="O10" s="79" t="str">
        <x:v>%</x:v>
      </x:c>
      <x:c r="P10" s="79" t="str">
        <x:v>Auto</x:v>
      </x:c>
      <x:c r="Q10" s="79" t="str">
        <x:v>Actual(t)</x:v>
      </x:c>
      <x:c r="R10" s="79" t="str">
        <x:v>Actual(t)</x:v>
      </x:c>
      <x:c r="S10" s="79" t="str">
        <x:v>Actual(t)</x:v>
      </x:c>
      <x:c r="T10" s="79" t="str">
        <x:v>Name</x:v>
      </x:c>
      <x:c r="U10" s="79" t="str">
        <x:v>Name</x:v>
      </x:c>
      <x:c r="V10" s="89" t="str">
        <x:v>ID</x:v>
      </x:c>
    </x:row>
    <x:row r="11">
      <x:c r="A11" s="106" t="str">
        <x:v>BT26821</x:v>
      </x:c>
      <x:c r="B11" s="105" t="str">
        <x:v>R-201</x:v>
      </x:c>
      <x:c r="C11" s="105" t="str">
        <x:v>수지A/Resin-A</x:v>
      </x:c>
      <x:c r="D11" s="105" t="str">
        <x:v>RCP-44A</x:v>
      </x:c>
      <x:c r="E11" s="105" t="n">
        <x:v>190</x:v>
      </x:c>
      <x:c r="F11" s="107" t="n">
        <x:v>75</x:v>
      </x:c>
      <x:c r="G11" s="107" t="n">
        <x:v>1.6</x:v>
      </x:c>
      <x:c r="H11" s="107" t="n">
        <x:v>210</x:v>
      </x:c>
      <x:c r="I11" s="105" t="n">
        <x:v>4800</x:v>
      </x:c>
      <x:c r="J11" s="105" t="n">
        <x:v>4584</x:v>
      </x:c>
      <x:c r="K11" s="51" t="n">
        <x:v>118</x:v>
      </x:c>
      <x:c r="L11" s="51" t="n">
        <x:v>47</x:v>
      </x:c>
      <x:c r="M11" s="51" t="n">
        <x:v>0</x:v>
      </x:c>
      <x:c r="N11" s="105" t="n">
        <x:v>670</x:v>
      </x:c>
      <x:c r="O11" s="108" t="n">
        <x:f>ROUND(J11/I11*100,2)</x:f>
        <x:v>95.5</x:v>
      </x:c>
      <x:c r="P11" s="108" t="str">
        <x:f>IF(AND(F11&gt;=72,F11&lt;=82,O11&gt;=94,M11&lt;=5),"PASS","CHECK")</x:f>
        <x:v>PASS</x:v>
      </x:c>
      <x:c r="Q11" s="105" t="n">
        <x:v>111</x:v>
      </x:c>
      <x:c r="R11" s="105" t="n">
        <x:v>118</x:v>
      </x:c>
      <x:c r="S11" s="105" t="n">
        <x:v>122</x:v>
      </x:c>
      <x:c r="T11" s="105" t="str">
        <x:v>김A</x:v>
      </x:c>
      <x:c r="U11" s="105" t="str">
        <x:v>QA-LEE</x:v>
      </x:c>
      <x:c r="V11" s="109" t="str">
        <x:v>SIG-260821</x:v>
      </x:c>
    </x:row>
    <x:row r="12">
      <x:c r="A12" s="106" t="str">
        <x:v>BT26822</x:v>
      </x:c>
      <x:c r="B12" s="105" t="str">
        <x:v>R-202</x:v>
      </x:c>
      <x:c r="C12" s="105" t="str">
        <x:v>촉매β/Catalyst-B</x:v>
      </x:c>
      <x:c r="D12" s="105" t="str">
        <x:v>RCP-44A</x:v>
      </x:c>
      <x:c r="E12" s="105" t="n">
        <x:v>208</x:v>
      </x:c>
      <x:c r="F12" s="107" t="n">
        <x:v>76.3</x:v>
      </x:c>
      <x:c r="G12" s="107" t="n">
        <x:v>1.68</x:v>
      </x:c>
      <x:c r="H12" s="107" t="n">
        <x:v>240</x:v>
      </x:c>
      <x:c r="I12" s="105" t="n">
        <x:v>4920</x:v>
      </x:c>
      <x:c r="J12" s="105" t="n">
        <x:v>4678.92</x:v>
      </x:c>
      <x:c r="K12" s="51" t="n">
        <x:v>126.5</x:v>
      </x:c>
      <x:c r="L12" s="51" t="n">
        <x:v>48.2</x:v>
      </x:c>
      <x:c r="M12" s="51" t="n">
        <x:v>1</x:v>
      </x:c>
      <x:c r="N12" s="105" t="n">
        <x:v>587</x:v>
      </x:c>
      <x:c r="O12" s="108" t="n">
        <x:f>ROUND(J12/I12*100,2)</x:f>
        <x:v>95.1</x:v>
      </x:c>
      <x:c r="P12" s="108" t="str">
        <x:f>IF(AND(F12&gt;=72,F12&lt;=82,O12&gt;=94,M12&lt;=5),"PASS","CHECK")</x:f>
        <x:v>PASS</x:v>
      </x:c>
      <x:c r="Q12" s="105" t="n">
        <x:v>112.8</x:v>
      </x:c>
      <x:c r="R12" s="105" t="n">
        <x:v>119.9</x:v>
      </x:c>
      <x:c r="S12" s="105" t="n">
        <x:v>124.1</x:v>
      </x:c>
      <x:c r="T12" s="105" t="str">
        <x:v>박B</x:v>
      </x:c>
      <x:c r="U12" s="105" t="str">
        <x:v>QA-KIM</x:v>
      </x:c>
      <x:c r="V12" s="109" t="str">
        <x:v>SIG-260822</x:v>
      </x:c>
    </x:row>
    <x:row r="13">
      <x:c r="A13" s="106" t="str">
        <x:v>BT26823</x:v>
      </x:c>
      <x:c r="B13" s="105" t="str">
        <x:v>R-203</x:v>
      </x:c>
      <x:c r="C13" s="105" t="str">
        <x:v>첨가제-17/Add.17</x:v>
      </x:c>
      <x:c r="D13" s="105" t="str">
        <x:v>RCP-44A</x:v>
      </x:c>
      <x:c r="E13" s="105" t="n">
        <x:v>226</x:v>
      </x:c>
      <x:c r="F13" s="107" t="n">
        <x:v>77.6</x:v>
      </x:c>
      <x:c r="G13" s="107" t="n">
        <x:v>1.76</x:v>
      </x:c>
      <x:c r="H13" s="107" t="n">
        <x:v>180</x:v>
      </x:c>
      <x:c r="I13" s="105" t="n">
        <x:v>5040</x:v>
      </x:c>
      <x:c r="J13" s="105" t="n">
        <x:v>4772.88</x:v>
      </x:c>
      <x:c r="K13" s="51" t="n">
        <x:v>135</x:v>
      </x:c>
      <x:c r="L13" s="51" t="n">
        <x:v>49.4</x:v>
      </x:c>
      <x:c r="M13" s="51" t="n">
        <x:v>0</x:v>
      </x:c>
      <x:c r="N13" s="105" t="n">
        <x:v>794</x:v>
      </x:c>
      <x:c r="O13" s="108" t="n">
        <x:f>ROUND(J13/I13*100,2)</x:f>
        <x:v>94.7</x:v>
      </x:c>
      <x:c r="P13" s="108" t="str">
        <x:f>IF(AND(F13&gt;=72,F13&lt;=82,O13&gt;=94,M13&lt;=5),"PASS","CHECK")</x:f>
        <x:v>PASS</x:v>
      </x:c>
      <x:c r="Q13" s="105" t="n">
        <x:v>114.6</x:v>
      </x:c>
      <x:c r="R13" s="105" t="n">
        <x:v>121.8</x:v>
      </x:c>
      <x:c r="S13" s="105" t="n">
        <x:v>126.2</x:v>
      </x:c>
      <x:c r="T13" s="105" t="str">
        <x:v>이C</x:v>
      </x:c>
      <x:c r="U13" s="105" t="str">
        <x:v>QA-LEE</x:v>
      </x:c>
      <x:c r="V13" s="109" t="str">
        <x:v>SIG-260823</x:v>
      </x:c>
    </x:row>
    <x:row r="14">
      <x:c r="A14" s="106" t="str">
        <x:v>BT26824</x:v>
      </x:c>
      <x:c r="B14" s="105" t="str">
        <x:v>R-201</x:v>
      </x:c>
      <x:c r="C14" s="105" t="str">
        <x:v>수지A/Resin-A</x:v>
      </x:c>
      <x:c r="D14" s="105" t="str">
        <x:v>RCP-44A</x:v>
      </x:c>
      <x:c r="E14" s="105" t="n">
        <x:v>244</x:v>
      </x:c>
      <x:c r="F14" s="107" t="n">
        <x:v>78.9</x:v>
      </x:c>
      <x:c r="G14" s="107" t="n">
        <x:v>1.84</x:v>
      </x:c>
      <x:c r="H14" s="107" t="n">
        <x:v>260</x:v>
      </x:c>
      <x:c r="I14" s="105" t="n">
        <x:v>5160</x:v>
      </x:c>
      <x:c r="J14" s="105" t="n">
        <x:v>4927.8</x:v>
      </x:c>
      <x:c r="K14" s="51" t="n">
        <x:v>143.5</x:v>
      </x:c>
      <x:c r="L14" s="51" t="n">
        <x:v>50.6</x:v>
      </x:c>
      <x:c r="M14" s="51" t="n">
        <x:v>3</x:v>
      </x:c>
      <x:c r="N14" s="105" t="n">
        <x:v>268</x:v>
      </x:c>
      <x:c r="O14" s="108" t="n">
        <x:f>ROUND(J14/I14*100,2)</x:f>
        <x:v>95.5</x:v>
      </x:c>
      <x:c r="P14" s="108" t="str">
        <x:f>IF(AND(F14&gt;=72,F14&lt;=82,O14&gt;=94,M14&lt;=5),"PASS","CHECK")</x:f>
        <x:v>PASS</x:v>
      </x:c>
      <x:c r="Q14" s="105" t="n">
        <x:v>116.4</x:v>
      </x:c>
      <x:c r="R14" s="105" t="n">
        <x:v>123.7</x:v>
      </x:c>
      <x:c r="S14" s="105" t="n">
        <x:v>128.3</x:v>
      </x:c>
      <x:c r="T14" s="105" t="str">
        <x:v>최D</x:v>
      </x:c>
      <x:c r="U14" s="105" t="str">
        <x:v>QA-KIM</x:v>
      </x:c>
      <x:c r="V14" s="109" t="str">
        <x:v>SIG-260824</x:v>
      </x:c>
    </x:row>
    <x:row r="15">
      <x:c r="A15" s="106" t="str">
        <x:v>BT26825</x:v>
      </x:c>
      <x:c r="B15" s="105" t="str">
        <x:v>R-202</x:v>
      </x:c>
      <x:c r="C15" s="105" t="str">
        <x:v>촉매β/Catalyst-B</x:v>
      </x:c>
      <x:c r="D15" s="105" t="str">
        <x:v>RCP-44A</x:v>
      </x:c>
      <x:c r="E15" s="105" t="n">
        <x:v>262</x:v>
      </x:c>
      <x:c r="F15" s="107" t="n">
        <x:v>80.2</x:v>
      </x:c>
      <x:c r="G15" s="107" t="n">
        <x:v>1.92</x:v>
      </x:c>
      <x:c r="H15" s="107" t="n">
        <x:v>310</x:v>
      </x:c>
      <x:c r="I15" s="105" t="n">
        <x:v>5280</x:v>
      </x:c>
      <x:c r="J15" s="105" t="n">
        <x:v>5021.28</x:v>
      </x:c>
      <x:c r="K15" s="51" t="n">
        <x:v>152</x:v>
      </x:c>
      <x:c r="L15" s="51" t="n">
        <x:v>47</x:v>
      </x:c>
      <x:c r="M15" s="51" t="n">
        <x:v>7</x:v>
      </x:c>
      <x:c r="N15" s="105" t="n">
        <x:v>267</x:v>
      </x:c>
      <x:c r="O15" s="108" t="n">
        <x:f>ROUND(J15/I15*100,2)</x:f>
        <x:v>95.1</x:v>
      </x:c>
      <x:c r="P15" s="108" t="str">
        <x:f>IF(AND(F15&gt;=72,F15&lt;=82,O15&gt;=94,M15&lt;=5),"PASS","CHECK")</x:f>
        <x:v>CHECK</x:v>
      </x:c>
      <x:c r="Q15" s="105" t="n">
        <x:v>118.2</x:v>
      </x:c>
      <x:c r="R15" s="105" t="n">
        <x:v>125.6</x:v>
      </x:c>
      <x:c r="S15" s="105" t="n">
        <x:v>130.4</x:v>
      </x:c>
      <x:c r="T15" s="105" t="str">
        <x:v>김A</x:v>
      </x:c>
      <x:c r="U15" s="105" t="str">
        <x:v>QA-LEE</x:v>
      </x:c>
      <x:c r="V15" s="109" t="str">
        <x:v>SIG-260825</x:v>
      </x:c>
    </x:row>
    <x:row r="16">
      <x:c r="A16" s="106" t="str">
        <x:v>BT26826</x:v>
      </x:c>
      <x:c r="B16" s="105" t="str">
        <x:v>R-203</x:v>
      </x:c>
      <x:c r="C16" s="105" t="str">
        <x:v>첨가제-17/Add.17</x:v>
      </x:c>
      <x:c r="D16" s="105" t="str">
        <x:v>RCP-44A</x:v>
      </x:c>
      <x:c r="E16" s="105" t="n">
        <x:v>190</x:v>
      </x:c>
      <x:c r="F16" s="107" t="n">
        <x:v>81.5</x:v>
      </x:c>
      <x:c r="G16" s="107" t="n">
        <x:v>2</x:v>
      </x:c>
      <x:c r="H16" s="107" t="n">
        <x:v>150</x:v>
      </x:c>
      <x:c r="I16" s="105" t="n">
        <x:v>5400</x:v>
      </x:c>
      <x:c r="J16" s="105" t="n">
        <x:v>5113.8</x:v>
      </x:c>
      <x:c r="K16" s="51" t="n">
        <x:v>160.5</x:v>
      </x:c>
      <x:c r="L16" s="51" t="n">
        <x:v>48.2</x:v>
      </x:c>
      <x:c r="M16" s="51" t="n">
        <x:v>0</x:v>
      </x:c>
      <x:c r="N16" s="105" t="n">
        <x:v>367</x:v>
      </x:c>
      <x:c r="O16" s="108" t="n">
        <x:f>ROUND(J16/I16*100,2)</x:f>
        <x:v>94.7</x:v>
      </x:c>
      <x:c r="P16" s="108" t="str">
        <x:f>IF(AND(F16&gt;=72,F16&lt;=82,O16&gt;=94,M16&lt;=5),"PASS","CHECK")</x:f>
        <x:v>PASS</x:v>
      </x:c>
      <x:c r="Q16" s="105" t="n">
        <x:v>120</x:v>
      </x:c>
      <x:c r="R16" s="105" t="n">
        <x:v>127.5</x:v>
      </x:c>
      <x:c r="S16" s="105" t="n">
        <x:v>132.5</x:v>
      </x:c>
      <x:c r="T16" s="105" t="str">
        <x:v>박B</x:v>
      </x:c>
      <x:c r="U16" s="105" t="str">
        <x:v>QA-KIM</x:v>
      </x:c>
      <x:c r="V16" s="109" t="str">
        <x:v>SIG-260826</x:v>
      </x:c>
    </x:row>
    <x:row r="17">
      <x:c r="A17" s="106" t="str">
        <x:v>BT26827</x:v>
      </x:c>
      <x:c r="B17" s="105" t="str">
        <x:v>R-201</x:v>
      </x:c>
      <x:c r="C17" s="105" t="str">
        <x:v>수지A/Resin-A</x:v>
      </x:c>
      <x:c r="D17" s="105" t="str">
        <x:v>RCP-44A</x:v>
      </x:c>
      <x:c r="E17" s="105" t="n">
        <x:v>208</x:v>
      </x:c>
      <x:c r="F17" s="107" t="n">
        <x:v>82.8</x:v>
      </x:c>
      <x:c r="G17" s="107" t="n">
        <x:v>2.08</x:v>
      </x:c>
      <x:c r="H17" s="107" t="n">
        <x:v>275</x:v>
      </x:c>
      <x:c r="I17" s="105" t="n">
        <x:v>5520</x:v>
      </x:c>
      <x:c r="J17" s="105" t="n">
        <x:v>5271.6</x:v>
      </x:c>
      <x:c r="K17" s="51" t="n">
        <x:v>169</x:v>
      </x:c>
      <x:c r="L17" s="51" t="n">
        <x:v>49.4</x:v>
      </x:c>
      <x:c r="M17" s="51" t="n">
        <x:v>2</x:v>
      </x:c>
      <x:c r="N17" s="105" t="n">
        <x:v>455</x:v>
      </x:c>
      <x:c r="O17" s="108" t="n">
        <x:f>ROUND(J17/I17*100,2)</x:f>
        <x:v>95.5</x:v>
      </x:c>
      <x:c r="P17" s="108" t="str">
        <x:f>IF(AND(F17&gt;=72,F17&lt;=82,O17&gt;=94,M17&lt;=5),"PASS","CHECK")</x:f>
        <x:v>CHECK</x:v>
      </x:c>
      <x:c r="Q17" s="105" t="n">
        <x:v>121.8</x:v>
      </x:c>
      <x:c r="R17" s="105" t="n">
        <x:v>129.4</x:v>
      </x:c>
      <x:c r="S17" s="105" t="n">
        <x:v>134.6</x:v>
      </x:c>
      <x:c r="T17" s="105" t="str">
        <x:v>이C</x:v>
      </x:c>
      <x:c r="U17" s="105" t="str">
        <x:v>QA-LEE</x:v>
      </x:c>
      <x:c r="V17" s="109" t="str">
        <x:v>SIG-260827</x:v>
      </x:c>
    </x:row>
    <x:row r="18">
      <x:c r="A18" s="110" t="str">
        <x:v>BT26828</x:v>
      </x:c>
      <x:c r="B18" s="111" t="str">
        <x:v>R-202</x:v>
      </x:c>
      <x:c r="C18" s="111" t="str">
        <x:v>촉매β/Catalyst-B</x:v>
      </x:c>
      <x:c r="D18" s="111" t="str">
        <x:v>RCP-44A</x:v>
      </x:c>
      <x:c r="E18" s="111" t="n">
        <x:v>226</x:v>
      </x:c>
      <x:c r="F18" s="112" t="n">
        <x:v>84.1</x:v>
      </x:c>
      <x:c r="G18" s="112" t="n">
        <x:v>2.16</x:v>
      </x:c>
      <x:c r="H18" s="112" t="n">
        <x:v>220</x:v>
      </x:c>
      <x:c r="I18" s="111" t="n">
        <x:v>5640</x:v>
      </x:c>
      <x:c r="J18" s="111" t="n">
        <x:v>5363.64</x:v>
      </x:c>
      <x:c r="K18" s="113" t="n">
        <x:v>177.5</x:v>
      </x:c>
      <x:c r="L18" s="113" t="n">
        <x:v>50.6</x:v>
      </x:c>
      <x:c r="M18" s="113" t="n">
        <x:v>4</x:v>
      </x:c>
      <x:c r="N18" s="111" t="n">
        <x:v>612</x:v>
      </x:c>
      <x:c r="O18" s="114" t="n">
        <x:f>ROUND(J18/I18*100,2)</x:f>
        <x:v>95.1</x:v>
      </x:c>
      <x:c r="P18" s="114" t="str">
        <x:f>IF(AND(F18&gt;=72,F18&lt;=82,O18&gt;=94,M18&lt;=5),"PASS","CHECK")</x:f>
        <x:v>CHECK</x:v>
      </x:c>
      <x:c r="Q18" s="111" t="n">
        <x:v>123.6</x:v>
      </x:c>
      <x:c r="R18" s="111" t="n">
        <x:v>131.3</x:v>
      </x:c>
      <x:c r="S18" s="111" t="n">
        <x:v>136.7</x:v>
      </x:c>
      <x:c r="T18" s="111" t="str">
        <x:v>최D</x:v>
      </x:c>
      <x:c r="U18" s="111" t="str">
        <x:v>QA-KIM</x:v>
      </x:c>
      <x:c r="V18" s="115" t="str">
        <x:v>SIG-260828</x:v>
      </x:c>
    </x:row>
  </x:sheetData>
  <x:mergeCells>
    <x:mergeCell ref="A1:V2"/>
    <x:mergeCell ref="A8:A10"/>
    <x:mergeCell ref="B8:C8"/>
    <x:mergeCell ref="D8:E8"/>
    <x:mergeCell ref="F8:H8"/>
    <x:mergeCell ref="I8:J8"/>
    <x:mergeCell ref="K8:M8"/>
    <x:mergeCell ref="N8:P8"/>
    <x:mergeCell ref="Q8:S8"/>
    <x:mergeCell ref="T8:V8"/>
    <x:mergeCell ref="B9:B10"/>
    <x:mergeCell ref="C9:C10"/>
    <x:mergeCell ref="D9:D10"/>
    <x:mergeCell ref="E9:E10"/>
  </x:mergeCells>
  <x:conditionalFormatting sqref="P11:P18">
    <x:cfRule type="expression" dxfId="0" priority="1">
      <x:formula>P11="CHECK"</x:formula>
    </x:cfRule>
  </x:conditionalFormatting>
  <x:conditionalFormatting sqref="F11:F18">
    <x:cfRule type="cellIs" dxfId="1" priority="2" operator="greaterThan">
      <x:formula>82</x:formula>
    </x:cfRule>
  </x:conditionalFormatting>
  <x:pageMargins left="0.7" right="0.7" top="0.75" bottom="0.75" header="0.3" footer="0.3"/>
  <x:drawing xmlns:r="http://schemas.openxmlformats.org/officeDocument/2006/relationships" r:id="R1c7b73f8470541b2"/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</x:cols>
  <x:sheetData>
    <x:row r="1">
      <x:c r="A1" s="85" t="str">
        <x:v>현장용어</x:v>
      </x:c>
      <x:c r="B1" s="86" t="str">
        <x:v>의미</x:v>
      </x:c>
      <x:c r="C1" s="86" t="str">
        <x:v>단위</x:v>
      </x:c>
      <x:c r="D1" s="87" t="str">
        <x:v>비고</x:v>
      </x:c>
    </x:row>
    <x:row r="2">
      <x:c r="A2" s="15" t="str">
        <x:v>반응온도</x:v>
      </x:c>
      <x:c r="B2" s="16" t="str">
        <x:v>Reactor temperature</x:v>
      </x:c>
      <x:c r="C2" s="16" t="str">
        <x:v>℃</x:v>
      </x:c>
      <x:c r="D2" s="17" t="str">
        <x:v>TIC PV</x:v>
      </x:c>
    </x:row>
    <x:row r="3">
      <x:c r="A3" s="15" t="str">
        <x:v>압력</x:v>
      </x:c>
      <x:c r="B3" s="16" t="str">
        <x:v>Reactor pressure</x:v>
      </x:c>
      <x:c r="C3" s="16" t="str">
        <x:v>bar</x:v>
      </x:c>
      <x:c r="D3" s="17" t="str">
        <x:v>Gauge</x:v>
      </x:c>
    </x:row>
    <x:row r="4">
      <x:c r="A4" s="15" t="str">
        <x:v>투입량</x:v>
      </x:c>
      <x:c r="B4" s="16" t="str">
        <x:v>Input mass</x:v>
      </x:c>
      <x:c r="C4" s="16" t="str">
        <x:v>kg</x:v>
      </x:c>
      <x:c r="D4" s="17" t="str">
        <x:v>원료 총량</x:v>
      </x:c>
    </x:row>
    <x:row r="5">
      <x:c r="A5" s="15" t="str">
        <x:v>산출량</x:v>
      </x:c>
      <x:c r="B5" s="16" t="str">
        <x:v>Output mass</x:v>
      </x:c>
      <x:c r="C5" s="16" t="str">
        <x:v>kg</x:v>
      </x:c>
      <x:c r="D5" s="17" t="str">
        <x:v>제품량</x:v>
      </x:c>
    </x:row>
    <x:row r="6">
      <x:c r="A6" s="15" t="str">
        <x:v>점도</x:v>
      </x:c>
      <x:c r="B6" s="16" t="str">
        <x:v>Viscosity</x:v>
      </x:c>
      <x:c r="C6" s="16" t="str">
        <x:v>cP</x:v>
      </x:c>
      <x:c r="D6" s="17" t="str">
        <x:v>25℃</x:v>
      </x:c>
    </x:row>
    <x:row r="7">
      <x:c r="A7" s="15" t="str">
        <x:v>수분</x:v>
      </x:c>
      <x:c r="B7" s="16" t="str">
        <x:v>Moisture</x:v>
      </x:c>
      <x:c r="C7" s="16" t="str">
        <x:v>ppm</x:v>
      </x:c>
      <x:c r="D7" s="17" t="str">
        <x:v>Karl Fischer</x:v>
      </x:c>
    </x:row>
    <x:row r="8">
      <x:c r="A8" s="15" t="str">
        <x:v>전력</x:v>
      </x:c>
      <x:c r="B8" s="16" t="str">
        <x:v>Energy consumption</x:v>
      </x:c>
      <x:c r="C8" s="16" t="str">
        <x:v>kWh</x:v>
      </x:c>
      <x:c r="D8" s="17" t="str">
        <x:v>Batch total</x:v>
      </x:c>
    </x:row>
    <x:row r="9">
      <x:c r="A9" s="18" t="str">
        <x:v>불량</x:v>
      </x:c>
      <x:c r="B9" s="19" t="str">
        <x:v>Reject quantity</x:v>
      </x:c>
      <x:c r="C9" s="19" t="str">
        <x:v>EA</x:v>
      </x:c>
      <x:c r="D9" s="20" t="str">
        <x:v>LOT 기준</x:v>
      </x:c>
    </x:row>
  </x:sheetData>
  <x:pageMargins left="0.7" right="0.7" top="0.75" bottom="0.75" header="0.3" footer="0.3"/>
</x:worksheet>
</file>