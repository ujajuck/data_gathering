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3bc0283e2a46e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설비점검" sheetId="1" r:id="R30cc941fbfe2474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"/>
  </x:numFmts>
  <x:fonts count="4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b/>
      <x:sz val="13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D9EAD3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D9EAF7"/>
      </x:patternFill>
    </x:fill>
    <x:fill>
      <x:patternFill patternType="solid">
        <x:fgColor rgb="FFE5E7EB"/>
      </x:patternFill>
    </x:fill>
    <x:fill>
      <x:patternFill patternType="solid">
        <x:fgColor rgb="FF4472C4"/>
      </x:patternFill>
    </x:fill>
    <x:fill>
      <x:patternFill patternType="solid">
        <x:fgColor rgb="FFF9FAFB"/>
      </x:patternFill>
    </x:fill>
  </x:fills>
  <x:borders count="4">
    <x:border/>
    <x:border/>
    <x:border>
      <x:left style="thin">
        <x:color rgb="FFB8BDC7"/>
      </x:left>
      <x:right style="thin">
        <x:color rgb="FFB8BDC7"/>
      </x:right>
      <x:top style="thin">
        <x:color rgb="FFB8BDC7"/>
      </x:top>
      <x:bottom style="thin">
        <x:color rgb="FFB8BDC7"/>
      </x:bottom>
    </x:border>
    <x:border>
      <x:left style="thin">
        <x:color rgb="FFB8BDC7"/>
      </x:left>
      <x:right style="thin">
        <x:color rgb="FFB8BDC7"/>
      </x:right>
      <x:top style="thin">
        <x:color rgb="FFB8BDC7"/>
      </x:top>
      <x:bottom style="thin">
        <x:color rgb="FFB8BDC7"/>
      </x:bottom>
    </x:border>
  </x:borders>
  <x:cellStyleXfs count="1">
    <x:xf numFmtId="0" fontId="0" fillId="0" borderId="0"/>
  </x:cellStyleXfs>
  <x:cellXfs count="9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2" fillId="3" borderId="2" xfId="0" applyNumberFormat="1" applyFont="1" applyFill="1" applyBorder="1"/>
    <x:xf numFmtId="0" fontId="0" fillId="4" borderId="2" xfId="0" applyNumberFormat="1" applyFont="1" applyFill="1" applyBorder="1"/>
    <x:xf numFmtId="0" fontId="0" fillId="0" borderId="2" xfId="0" applyNumberFormat="1" applyFont="1" applyFill="1" applyBorder="1"/>
    <x:xf numFmtId="0" fontId="0" fillId="5" borderId="2" xfId="0" applyNumberFormat="1" applyFont="1" applyFill="1" applyBorder="1"/>
    <x:xf numFmtId="0" fontId="0" fillId="6" borderId="2" xfId="0" applyNumberFormat="1" applyFont="1" applyFill="1" applyBorder="1"/>
    <x:xf numFmtId="0" fontId="2" fillId="3" borderId="3" xfId="0" applyNumberFormat="1" applyFont="1" applyFill="1" applyBorder="1"/>
    <x:xf numFmtId="0" fontId="0" fillId="4" borderId="3" xfId="0" applyNumberFormat="1" applyFont="1" applyFill="1" applyBorder="1"/>
    <x:xf numFmtId="0" fontId="0" fillId="0" borderId="3" xfId="0" applyNumberFormat="1" applyFont="1" applyFill="1" applyBorder="1"/>
    <x:xf numFmtId="0" fontId="0" fillId="5" borderId="3" xfId="0" applyNumberFormat="1" applyFont="1" applyFill="1" applyBorder="1"/>
    <x:xf numFmtId="0" fontId="0" fillId="6" borderId="3" xfId="0" applyNumberFormat="1" applyFont="1" applyFill="1" applyBorder="1"/>
    <x:xf numFmtId="0" fontId="2" fillId="3" borderId="2" xfId="0" applyNumberFormat="1" applyFont="1" applyFill="1" applyBorder="1" applyAlignment="1">
      <x:alignment vertical="center"/>
    </x:xf>
    <x:xf numFmtId="0" fontId="0" fillId="4" borderId="2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/>
    </x:xf>
    <x:xf numFmtId="0" fontId="0" fillId="5" borderId="2" xfId="0" applyNumberFormat="1" applyFont="1" applyFill="1" applyBorder="1" applyAlignment="1">
      <x:alignment vertical="center"/>
    </x:xf>
    <x:xf numFmtId="0" fontId="0" fillId="6" borderId="2" xfId="0" applyNumberFormat="1" applyFont="1" applyFill="1" applyBorder="1" applyAlignment="1">
      <x:alignment vertical="center"/>
    </x:xf>
    <x:xf numFmtId="0" fontId="2" fillId="3" borderId="3" xfId="0" applyNumberFormat="1" applyFont="1" applyFill="1" applyBorder="1" applyAlignment="1">
      <x:alignment vertical="center"/>
    </x:xf>
    <x:xf numFmtId="0" fontId="0" fillId="4" borderId="3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0" fontId="0" fillId="5" borderId="3" xfId="0" applyNumberFormat="1" applyFont="1" applyFill="1" applyBorder="1" applyAlignment="1">
      <x:alignment vertical="center"/>
    </x:xf>
    <x:xf numFmtId="0" fontId="0" fillId="6" borderId="3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3" fillId="7" borderId="0" xfId="0" applyNumberFormat="1" applyFont="1" applyFill="1" applyBorder="1"/>
    <x:xf numFmtId="0" fontId="3" fillId="7" borderId="1" xfId="0" applyNumberFormat="1" applyFont="1" applyFill="1" applyBorder="1"/>
    <x:xf numFmtId="0" fontId="0" fillId="8" borderId="0" xfId="0" applyNumberFormat="1" applyFont="1" applyFill="1" applyBorder="1"/>
    <x:xf numFmtId="0" fontId="0" fillId="8" borderId="1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8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8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8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8" borderId="2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 applyAlignment="1">
      <x:alignment vertical="center" wrapText="1"/>
    </x:xf>
    <x:xf numFmtId="0" fontId="0" fillId="8" borderId="3" xfId="0" applyNumberFormat="1" applyFont="1" applyFill="1" applyBorder="1" applyAlignment="1">
      <x:alignment vertical="center" wrapText="1"/>
    </x:xf>
    <x:xf numFmtId="0" fontId="0" fillId="0" borderId="3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0" fillId="9" borderId="1" xfId="0" applyNumberFormat="1" applyFont="1" applyFill="1" applyBorder="1"/>
    <x:xf numFmtId="0" fontId="2" fillId="9" borderId="0" xfId="0" applyNumberFormat="1" applyFont="1" applyFill="1" applyBorder="1"/>
    <x:xf numFmtId="0" fontId="2" fillId="9" borderId="1" xfId="0" applyNumberFormat="1" applyFont="1" applyFill="1" applyBorder="1"/>
    <x:xf numFmtId="0" fontId="2" fillId="9" borderId="0" xfId="0" applyNumberFormat="1" applyFont="1" applyFill="1" applyBorder="1" applyAlignment="1">
      <x:alignment horizontal="center"/>
    </x:xf>
    <x:xf numFmtId="0" fontId="2" fillId="9" borderId="1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0" fontId="0" fillId="5" borderId="0" xfId="0" applyNumberFormat="1" applyFont="1" applyFill="1" applyBorder="1"/>
    <x:xf numFmtId="200" fontId="0" fillId="5" borderId="1" xfId="0" applyNumberFormat="1" applyFont="1" applyFill="1" applyBorder="1"/>
    <x:xf numFmtId="0" fontId="2" fillId="9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/>
    <x:xf numFmtId="200" fontId="0" fillId="5" borderId="2" xfId="0" applyNumberFormat="1" applyFont="1" applyFill="1" applyBorder="1"/>
    <x:xf numFmtId="0" fontId="2" fillId="9" borderId="3" xfId="0" applyNumberFormat="1" applyFont="1" applyFill="1" applyBorder="1" applyAlignment="1">
      <x:alignment horizontal="center"/>
    </x:xf>
    <x:xf numFmtId="200" fontId="0" fillId="0" borderId="3" xfId="0" applyNumberFormat="1" applyFont="1" applyFill="1" applyBorder="1"/>
    <x:xf numFmtId="200" fontId="0" fillId="5" borderId="3" xfId="0" applyNumberFormat="1" applyFont="1" applyFill="1" applyBorder="1"/>
    <x:xf numFmtId="0" fontId="2" fillId="9" borderId="2" xfId="0" applyNumberFormat="1" applyFont="1" applyFill="1" applyBorder="1" applyAlignment="1">
      <x:alignment horizontal="center" vertical="center"/>
    </x:xf>
    <x:xf numFmtId="200" fontId="0" fillId="0" borderId="2" xfId="0" applyNumberFormat="1" applyFont="1" applyFill="1" applyBorder="1" applyAlignment="1">
      <x:alignment vertical="center"/>
    </x:xf>
    <x:xf numFmtId="200" fontId="0" fillId="5" borderId="2" xfId="0" applyNumberFormat="1" applyFont="1" applyFill="1" applyBorder="1" applyAlignment="1">
      <x:alignment vertical="center"/>
    </x:xf>
    <x:xf numFmtId="0" fontId="2" fillId="9" borderId="3" xfId="0" applyNumberFormat="1" applyFont="1" applyFill="1" applyBorder="1" applyAlignment="1">
      <x:alignment horizontal="center" vertical="center"/>
    </x:xf>
    <x:xf numFmtId="200" fontId="0" fillId="0" borderId="3" xfId="0" applyNumberFormat="1" applyFont="1" applyFill="1" applyBorder="1" applyAlignment="1">
      <x:alignment vertical="center"/>
    </x:xf>
    <x:xf numFmtId="200" fontId="0" fillId="5" borderId="3" xfId="0" applyNumberFormat="1" applyFont="1" applyFill="1" applyBorder="1" applyAlignment="1">
      <x:alignment vertical="center"/>
    </x:xf>
    <x:xf numFmtId="0" fontId="0" fillId="8" borderId="2" xfId="0" applyNumberFormat="1" applyFont="1" applyFill="1" applyBorder="1"/>
    <x:xf numFmtId="0" fontId="0" fillId="8" borderId="3" xfId="0" applyNumberFormat="1" applyFont="1" applyFill="1" applyBorder="1"/>
    <x:xf numFmtId="0" fontId="0" fillId="8" borderId="2" xfId="0" applyNumberFormat="1" applyFont="1" applyFill="1" applyBorder="1" applyAlignment="1">
      <x:alignment vertical="center"/>
    </x:xf>
    <x:xf numFmtId="0" fontId="0" fillId="8" borderId="3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0" fillId="10" borderId="1" xfId="0" applyNumberFormat="1" applyFont="1" applyFill="1" applyBorder="1"/>
    <x:xf numFmtId="0" fontId="0" fillId="10" borderId="0" xfId="0" applyNumberFormat="1" applyFont="1" applyFill="1" applyBorder="1" applyAlignment="1">
      <x:alignment wrapText="1"/>
    </x:xf>
    <x:xf numFmtId="0" fontId="0" fillId="10" borderId="1" xfId="0" applyNumberFormat="1" applyFont="1" applyFill="1" applyBorder="1" applyAlignment="1">
      <x:alignment wrapText="1"/>
    </x:xf>
    <x:xf numFmtId="0" fontId="0" fillId="10" borderId="2" xfId="0" applyNumberFormat="1" applyFont="1" applyFill="1" applyBorder="1" applyAlignment="1">
      <x:alignment wrapText="1"/>
    </x:xf>
    <x:xf numFmtId="0" fontId="0" fillId="10" borderId="3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6144aa13a8343e4" /><Relationship Type="http://schemas.openxmlformats.org/officeDocument/2006/relationships/theme" Target="/xl/theme/theme1.xml" Id="R630b63a6f18c4d70" /><Relationship Type="http://schemas.openxmlformats.org/officeDocument/2006/relationships/sharedStrings" Target="/xl/sharedStrings.xml" Id="Re0566a41a1884e99" /><Relationship Type="http://schemas.openxmlformats.org/officeDocument/2006/relationships/worksheet" Target="/xl/worksheets/sheet1.xml" Id="R30cc941fbfe2474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31b8848b4c6a47ae" /><Relationship Type="http://schemas.openxmlformats.org/officeDocument/2006/relationships/image" Target="/xl/media/image2.png" Id="R5f3f95df49024dec" /><Relationship Type="http://schemas.openxmlformats.org/officeDocument/2006/relationships/image" Target="/xl/media/image3.png" Id="Rb99d9c1961e344a6" /><Relationship Type="http://schemas.openxmlformats.org/officeDocument/2006/relationships/image" Target="/xl/media/image4.png" Id="R1de4e367112e492a" /></Relationships>
</file>

<file path=xl/drawings/drawing1.xml><?xml version="1.0" encoding="utf-8"?>
<xdr:wsDr xmlns:xdr="http://schemas.openxmlformats.org/drawingml/2006/spreadsheetDrawing">
  <xdr:oneCellAnchor>
    <xdr:from>
      <xdr:col>5</xdr:col>
      <xdr:colOff>0</xdr:colOff>
      <xdr:row>4</xdr:row>
      <xdr:rowOff>0</xdr:rowOff>
    </xdr:from>
    <xdr:ext cx="2762250" cy="1000125"/>
    <xdr:pic>
      <xdr:nvPicPr>
        <xdr:cNvPr id="1" name="2a9c453a-9628-44bc-888f-193680eef29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1b8848b4c6a47a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5</xdr:col>
      <xdr:colOff>0</xdr:colOff>
      <xdr:row>17</xdr:row>
      <xdr:rowOff>0</xdr:rowOff>
    </xdr:from>
    <xdr:ext cx="2762250" cy="1000125"/>
    <xdr:pic>
      <xdr:nvPicPr>
        <xdr:cNvPr id="2" name="2d5563e8-59f1-40a2-a7d4-e4dceaa6a38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f3f95df49024de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5</xdr:col>
      <xdr:colOff>0</xdr:colOff>
      <xdr:row>30</xdr:row>
      <xdr:rowOff>0</xdr:rowOff>
    </xdr:from>
    <xdr:ext cx="2762250" cy="1000125"/>
    <xdr:pic>
      <xdr:nvPicPr>
        <xdr:cNvPr id="3" name="b4c940dd-6a9c-44d0-9ffb-173d0261228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99d9c1961e344a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5</xdr:col>
      <xdr:colOff>0</xdr:colOff>
      <xdr:row>43</xdr:row>
      <xdr:rowOff>0</xdr:rowOff>
    </xdr:from>
    <xdr:ext cx="2762250" cy="1000125"/>
    <xdr:pic>
      <xdr:nvPicPr>
        <xdr:cNvPr id="4" name="426e0309-d750-4cfe-b5c7-1f536fea212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de4e367112e492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bed5c06be4141a4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4" hidden="0" customWidth="1"/>
    <x:col min="3" max="3" width="14" hidden="0" customWidth="1"/>
    <x:col min="4" max="4" width="12" hidden="0" customWidth="1"/>
    <x:col min="5" max="5" width="12" hidden="0" customWidth="1"/>
    <x:col min="6" max="6" width="14" hidden="0" customWidth="1"/>
    <x:col min="7" max="7" width="14" hidden="0" customWidth="1"/>
    <x:col min="8" max="8" width="14" hidden="0" customWidth="1"/>
    <x:col min="10" max="10" width="12" hidden="0" customWidth="1"/>
    <x:col min="11" max="11" width="18" hidden="0" customWidth="1"/>
  </x:cols>
  <x:sheetData>
    <x:row r="1">
      <x:c r="A1" s="8" t="str">
        <x:v>설비 정기점검 기록</x:v>
      </x:c>
      <x:c r="B1" s="8"/>
      <x:c r="C1" s="8"/>
      <x:c r="D1" s="8"/>
      <x:c r="E1" s="8"/>
      <x:c r="F1" s="8"/>
      <x:c r="G1" s="8"/>
      <x:c r="H1" s="8"/>
    </x:row>
    <x:row r="2">
      <x:c r="A2" s="8"/>
      <x:c r="B2" s="8"/>
      <x:c r="C2" s="8"/>
      <x:c r="D2" s="8"/>
      <x:c r="E2" s="8"/>
      <x:c r="F2" s="8"/>
      <x:c r="G2" s="8"/>
      <x:c r="H2" s="8"/>
      <x:c r="J2" s="30" t="str">
        <x:v>색상 범례</x:v>
      </x:c>
      <x:c r="K2" s="30"/>
    </x:row>
    <x:row r="3">
      <x:c r="J3" s="31" t="str">
        <x:v>정상</x:v>
      </x:c>
      <x:c r="K3" s="32" t="str">
        <x:v># 녹색</x:v>
      </x:c>
    </x:row>
    <x:row r="4" ht="24" customHeight="1">
      <x:c r="A4" s="42" t="str">
        <x:v>설비 점검표 #1  |  순환펌프 A (P-101)</x:v>
      </x:c>
      <x:c r="B4" s="42"/>
      <x:c r="C4" s="42"/>
      <x:c r="D4" s="42"/>
      <x:c r="E4" s="42"/>
      <x:c r="F4" s="42"/>
      <x:c r="G4" s="42"/>
      <x:c r="H4" s="42"/>
      <x:c r="J4" s="33" t="str">
        <x:v>확인 필요</x:v>
      </x:c>
      <x:c r="K4" s="32" t="str">
        <x:v># 노랑</x:v>
      </x:c>
    </x:row>
    <x:row r="5">
      <x:c r="A5" s="54" t="str">
        <x:v>설비번호</x:v>
      </x:c>
      <x:c r="B5" s="55" t="str">
        <x:v>P-101</x:v>
      </x:c>
      <x:c r="C5" s="54" t="str">
        <x:v>설비명</x:v>
      </x:c>
      <x:c r="D5" s="55" t="str">
        <x:v>순환펌프 A</x:v>
      </x:c>
      <x:c r="E5" s="55"/>
      <x:c r="J5" s="34" t="str">
        <x:v>이상</x:v>
      </x:c>
      <x:c r="K5" s="32" t="str">
        <x:v># 빨강</x:v>
      </x:c>
    </x:row>
    <x:row r="6">
      <x:c r="A6" s="54" t="str">
        <x:v>점검일</x:v>
      </x:c>
      <x:c r="B6" s="55" t="str">
        <x:v>2026-08-18</x:v>
      </x:c>
      <x:c r="C6" s="54" t="str">
        <x:v>점검자</x:v>
      </x:c>
      <x:c r="D6" s="55" t="str">
        <x:v>김대리</x:v>
      </x:c>
      <x:c r="E6" s="55"/>
    </x:row>
    <x:row r="7">
      <x:c r="A7" s="74" t="str">
        <x:v>점검항목</x:v>
      </x:c>
      <x:c r="B7" s="74" t="str">
        <x:v>기준상한</x:v>
      </x:c>
      <x:c r="C7" s="74" t="str">
        <x:v>실측값</x:v>
      </x:c>
      <x:c r="D7" s="74" t="str">
        <x:v>단위</x:v>
      </x:c>
      <x:c r="E7" s="74" t="str">
        <x:v>판정</x:v>
      </x:c>
    </x:row>
    <x:row r="8">
      <x:c r="A8" s="32" t="str">
        <x:v>진동</x:v>
      </x:c>
      <x:c r="B8" s="75" t="n">
        <x:v>4</x:v>
      </x:c>
      <x:c r="C8" s="76" t="n">
        <x:v>3.2</x:v>
      </x:c>
      <x:c r="D8" s="32" t="str">
        <x:v>mm/s</x:v>
      </x:c>
      <x:c r="E8" s="31" t="str">
        <x:f>IF(C8&lt;=B8,"정상","이상")</x:f>
        <x:v>정상</x:v>
      </x:c>
    </x:row>
    <x:row r="9">
      <x:c r="A9" s="32" t="str">
        <x:v>토출압력</x:v>
      </x:c>
      <x:c r="B9" s="75" t="n">
        <x:v>8</x:v>
      </x:c>
      <x:c r="C9" s="76" t="n">
        <x:v>7.8</x:v>
      </x:c>
      <x:c r="D9" s="32" t="str">
        <x:v>bar</x:v>
      </x:c>
      <x:c r="E9" s="31" t="str">
        <x:f>IF(C9&lt;=B9,"정상","이상")</x:f>
        <x:v>정상</x:v>
      </x:c>
    </x:row>
    <x:row r="10">
      <x:c r="A10" s="32" t="str">
        <x:v>베어링온도</x:v>
      </x:c>
      <x:c r="B10" s="75" t="n">
        <x:v>80</x:v>
      </x:c>
      <x:c r="C10" s="76" t="n">
        <x:v>71</x:v>
      </x:c>
      <x:c r="D10" s="32" t="str">
        <x:v>℃</x:v>
      </x:c>
      <x:c r="E10" s="31" t="str">
        <x:f>IF(C10&lt;=B10,"정상","이상")</x:f>
        <x:v>정상</x:v>
      </x:c>
    </x:row>
    <x:row r="11">
      <x:c r="A11" s="82" t="str">
        <x:v>종합판정</x:v>
      </x:c>
      <x:c r="B11" s="82"/>
      <x:c r="C11" s="82"/>
      <x:c r="D11" s="31" t="str">
        <x:f>IF(COUNTIF(E8:E10,"이상")&gt;0,"정비 필요","정상")</x:f>
        <x:v>정상</x:v>
      </x:c>
      <x:c r="E11" s="31"/>
    </x:row>
    <x:row r="12">
      <x:c r="A12" s="88" t="str">
        <x:v>특이사항: 특이사항 없음</x:v>
      </x:c>
      <x:c r="B12" s="88"/>
      <x:c r="C12" s="88"/>
      <x:c r="D12" s="88"/>
      <x:c r="E12" s="88"/>
      <x:c r="F12" s="88"/>
      <x:c r="G12" s="88"/>
      <x:c r="H12" s="88"/>
    </x:row>
    <x:row r="13">
      <x:c r="A13" s="88"/>
      <x:c r="B13" s="88"/>
      <x:c r="C13" s="88"/>
      <x:c r="D13" s="88"/>
      <x:c r="E13" s="88"/>
      <x:c r="F13" s="88"/>
      <x:c r="G13" s="88"/>
      <x:c r="H13" s="88"/>
    </x:row>
    <x:row r="17" ht="24" customHeight="1">
      <x:c r="A17" s="42" t="str">
        <x:v>설비 점검표 #2  |  순환펌프 B (P-102)</x:v>
      </x:c>
      <x:c r="B17" s="42"/>
      <x:c r="C17" s="42"/>
      <x:c r="D17" s="42"/>
      <x:c r="E17" s="42"/>
      <x:c r="F17" s="42"/>
      <x:c r="G17" s="42"/>
      <x:c r="H17" s="42"/>
    </x:row>
    <x:row r="18">
      <x:c r="A18" s="54" t="str">
        <x:v>설비번호</x:v>
      </x:c>
      <x:c r="B18" s="55" t="str">
        <x:v>P-102</x:v>
      </x:c>
      <x:c r="C18" s="54" t="str">
        <x:v>설비명</x:v>
      </x:c>
      <x:c r="D18" s="55" t="str">
        <x:v>순환펌프 B</x:v>
      </x:c>
      <x:c r="E18" s="55"/>
    </x:row>
    <x:row r="19">
      <x:c r="A19" s="54" t="str">
        <x:v>점검일</x:v>
      </x:c>
      <x:c r="B19" s="55" t="str">
        <x:v>2026-08-18</x:v>
      </x:c>
      <x:c r="C19" s="54" t="str">
        <x:v>점검자</x:v>
      </x:c>
      <x:c r="D19" s="55" t="str">
        <x:v>김대리</x:v>
      </x:c>
      <x:c r="E19" s="55"/>
    </x:row>
    <x:row r="20">
      <x:c r="A20" s="74" t="str">
        <x:v>점검항목</x:v>
      </x:c>
      <x:c r="B20" s="74" t="str">
        <x:v>기준상한</x:v>
      </x:c>
      <x:c r="C20" s="74" t="str">
        <x:v>실측값</x:v>
      </x:c>
      <x:c r="D20" s="74" t="str">
        <x:v>단위</x:v>
      </x:c>
      <x:c r="E20" s="74" t="str">
        <x:v>판정</x:v>
      </x:c>
    </x:row>
    <x:row r="21">
      <x:c r="A21" s="32" t="str">
        <x:v>진동</x:v>
      </x:c>
      <x:c r="B21" s="75" t="n">
        <x:v>4</x:v>
      </x:c>
      <x:c r="C21" s="76" t="n">
        <x:v>4.6</x:v>
      </x:c>
      <x:c r="D21" s="32" t="str">
        <x:v>mm/s</x:v>
      </x:c>
      <x:c r="E21" s="34" t="str">
        <x:f>IF(C21&lt;=B21,"정상","이상")</x:f>
        <x:v>이상</x:v>
      </x:c>
    </x:row>
    <x:row r="22">
      <x:c r="A22" s="32" t="str">
        <x:v>토출압력</x:v>
      </x:c>
      <x:c r="B22" s="75" t="n">
        <x:v>8</x:v>
      </x:c>
      <x:c r="C22" s="76" t="n">
        <x:v>7.5</x:v>
      </x:c>
      <x:c r="D22" s="32" t="str">
        <x:v>bar</x:v>
      </x:c>
      <x:c r="E22" s="31" t="str">
        <x:f>IF(C22&lt;=B22,"정상","이상")</x:f>
        <x:v>정상</x:v>
      </x:c>
    </x:row>
    <x:row r="23">
      <x:c r="A23" s="32" t="str">
        <x:v>베어링온도</x:v>
      </x:c>
      <x:c r="B23" s="75" t="n">
        <x:v>80</x:v>
      </x:c>
      <x:c r="C23" s="76" t="n">
        <x:v>73</x:v>
      </x:c>
      <x:c r="D23" s="32" t="str">
        <x:v>℃</x:v>
      </x:c>
      <x:c r="E23" s="31" t="str">
        <x:f>IF(C23&lt;=B23,"정상","이상")</x:f>
        <x:v>정상</x:v>
      </x:c>
    </x:row>
    <x:row r="24">
      <x:c r="A24" s="82" t="str">
        <x:v>종합판정</x:v>
      </x:c>
      <x:c r="B24" s="82"/>
      <x:c r="C24" s="82"/>
      <x:c r="D24" s="34" t="str">
        <x:f>IF(COUNTIF(E21:E23,"이상")&gt;0,"정비 필요","정상")</x:f>
        <x:v>정비 필요</x:v>
      </x:c>
      <x:c r="E24" s="34"/>
    </x:row>
    <x:row r="25">
      <x:c r="A25" s="88" t="str">
        <x:v>특이사항: 진동값 상승. 재점검 예정</x:v>
      </x:c>
      <x:c r="B25" s="88"/>
      <x:c r="C25" s="88"/>
      <x:c r="D25" s="88"/>
      <x:c r="E25" s="88"/>
      <x:c r="F25" s="88"/>
      <x:c r="G25" s="88"/>
      <x:c r="H25" s="88"/>
    </x:row>
    <x:row r="26">
      <x:c r="A26" s="88"/>
      <x:c r="B26" s="88"/>
      <x:c r="C26" s="88"/>
      <x:c r="D26" s="88"/>
      <x:c r="E26" s="88"/>
      <x:c r="F26" s="88"/>
      <x:c r="G26" s="88"/>
      <x:c r="H26" s="88"/>
    </x:row>
    <x:row r="30" ht="24" customHeight="1">
      <x:c r="A30" s="42" t="str">
        <x:v>설비 점검표 #3  |  이송펌프 A (P-201)</x:v>
      </x:c>
      <x:c r="B30" s="42"/>
      <x:c r="C30" s="42"/>
      <x:c r="D30" s="42"/>
      <x:c r="E30" s="42"/>
      <x:c r="F30" s="42"/>
      <x:c r="G30" s="42"/>
      <x:c r="H30" s="42"/>
    </x:row>
    <x:row r="31">
      <x:c r="A31" s="54" t="str">
        <x:v>설비번호</x:v>
      </x:c>
      <x:c r="B31" s="55" t="str">
        <x:v>P-201</x:v>
      </x:c>
      <x:c r="C31" s="54" t="str">
        <x:v>설비명</x:v>
      </x:c>
      <x:c r="D31" s="55" t="str">
        <x:v>이송펌프 A</x:v>
      </x:c>
      <x:c r="E31" s="55"/>
    </x:row>
    <x:row r="32">
      <x:c r="A32" s="54" t="str">
        <x:v>점검일</x:v>
      </x:c>
      <x:c r="B32" s="55" t="str">
        <x:v>2026-08-19</x:v>
      </x:c>
      <x:c r="C32" s="54" t="str">
        <x:v>점검자</x:v>
      </x:c>
      <x:c r="D32" s="55" t="str">
        <x:v>이주임</x:v>
      </x:c>
      <x:c r="E32" s="55"/>
    </x:row>
    <x:row r="33">
      <x:c r="A33" s="74" t="str">
        <x:v>점검항목</x:v>
      </x:c>
      <x:c r="B33" s="74" t="str">
        <x:v>기준상한</x:v>
      </x:c>
      <x:c r="C33" s="74" t="str">
        <x:v>실측값</x:v>
      </x:c>
      <x:c r="D33" s="74" t="str">
        <x:v>단위</x:v>
      </x:c>
      <x:c r="E33" s="74" t="str">
        <x:v>판정</x:v>
      </x:c>
    </x:row>
    <x:row r="34">
      <x:c r="A34" s="32" t="str">
        <x:v>진동</x:v>
      </x:c>
      <x:c r="B34" s="75" t="n">
        <x:v>5</x:v>
      </x:c>
      <x:c r="C34" s="76" t="n">
        <x:v>4.1</x:v>
      </x:c>
      <x:c r="D34" s="32" t="str">
        <x:v>mm/s</x:v>
      </x:c>
      <x:c r="E34" s="31" t="str">
        <x:f>IF(C34&lt;=B34,"정상","이상")</x:f>
        <x:v>정상</x:v>
      </x:c>
    </x:row>
    <x:row r="35">
      <x:c r="A35" s="32" t="str">
        <x:v>토출압력</x:v>
      </x:c>
      <x:c r="B35" s="75" t="n">
        <x:v>10</x:v>
      </x:c>
      <x:c r="C35" s="76" t="n">
        <x:v>8.7</x:v>
      </x:c>
      <x:c r="D35" s="32" t="str">
        <x:v>bar</x:v>
      </x:c>
      <x:c r="E35" s="31" t="str">
        <x:f>IF(C35&lt;=B35,"정상","이상")</x:f>
        <x:v>정상</x:v>
      </x:c>
    </x:row>
    <x:row r="36">
      <x:c r="A36" s="32" t="str">
        <x:v>베어링온도</x:v>
      </x:c>
      <x:c r="B36" s="75" t="n">
        <x:v>85</x:v>
      </x:c>
      <x:c r="C36" s="76" t="n">
        <x:v>77</x:v>
      </x:c>
      <x:c r="D36" s="32" t="str">
        <x:v>℃</x:v>
      </x:c>
      <x:c r="E36" s="31" t="str">
        <x:f>IF(C36&lt;=B36,"정상","이상")</x:f>
        <x:v>정상</x:v>
      </x:c>
    </x:row>
    <x:row r="37">
      <x:c r="A37" s="82" t="str">
        <x:v>종합판정</x:v>
      </x:c>
      <x:c r="B37" s="82"/>
      <x:c r="C37" s="82"/>
      <x:c r="D37" s="31" t="str">
        <x:f>IF(COUNTIF(E34:E36,"이상")&gt;0,"정비 필요","정상")</x:f>
        <x:v>정상</x:v>
      </x:c>
      <x:c r="E37" s="31"/>
    </x:row>
    <x:row r="38">
      <x:c r="A38" s="88" t="str">
        <x:v>특이사항: 토출압력 추이 관찰</x:v>
      </x:c>
      <x:c r="B38" s="88"/>
      <x:c r="C38" s="88"/>
      <x:c r="D38" s="88"/>
      <x:c r="E38" s="88"/>
      <x:c r="F38" s="88"/>
      <x:c r="G38" s="88"/>
      <x:c r="H38" s="88"/>
    </x:row>
    <x:row r="39">
      <x:c r="A39" s="88"/>
      <x:c r="B39" s="88"/>
      <x:c r="C39" s="88"/>
      <x:c r="D39" s="88"/>
      <x:c r="E39" s="88"/>
      <x:c r="F39" s="88"/>
      <x:c r="G39" s="88"/>
      <x:c r="H39" s="88"/>
    </x:row>
    <x:row r="43" ht="24" customHeight="1">
      <x:c r="A43" s="42" t="str">
        <x:v>설비 점검표 #4  |  이송펌프 B (P-202)</x:v>
      </x:c>
      <x:c r="B43" s="42"/>
      <x:c r="C43" s="42"/>
      <x:c r="D43" s="42"/>
      <x:c r="E43" s="42"/>
      <x:c r="F43" s="42"/>
      <x:c r="G43" s="42"/>
      <x:c r="H43" s="42"/>
    </x:row>
    <x:row r="44">
      <x:c r="A44" s="54" t="str">
        <x:v>설비번호</x:v>
      </x:c>
      <x:c r="B44" s="55" t="str">
        <x:v>P-202</x:v>
      </x:c>
      <x:c r="C44" s="54" t="str">
        <x:v>설비명</x:v>
      </x:c>
      <x:c r="D44" s="55" t="str">
        <x:v>이송펌프 B</x:v>
      </x:c>
      <x:c r="E44" s="55"/>
    </x:row>
    <x:row r="45">
      <x:c r="A45" s="54" t="str">
        <x:v>점검일</x:v>
      </x:c>
      <x:c r="B45" s="55" t="str">
        <x:v>2026-08-19</x:v>
      </x:c>
      <x:c r="C45" s="54" t="str">
        <x:v>점검자</x:v>
      </x:c>
      <x:c r="D45" s="55" t="str">
        <x:v>이주임</x:v>
      </x:c>
      <x:c r="E45" s="55"/>
    </x:row>
    <x:row r="46">
      <x:c r="A46" s="74" t="str">
        <x:v>점검항목</x:v>
      </x:c>
      <x:c r="B46" s="74" t="str">
        <x:v>기준상한</x:v>
      </x:c>
      <x:c r="C46" s="74" t="str">
        <x:v>실측값</x:v>
      </x:c>
      <x:c r="D46" s="74" t="str">
        <x:v>단위</x:v>
      </x:c>
      <x:c r="E46" s="74" t="str">
        <x:v>판정</x:v>
      </x:c>
    </x:row>
    <x:row r="47">
      <x:c r="A47" s="32" t="str">
        <x:v>진동</x:v>
      </x:c>
      <x:c r="B47" s="75" t="n">
        <x:v>5</x:v>
      </x:c>
      <x:c r="C47" s="76" t="n">
        <x:v>6.2</x:v>
      </x:c>
      <x:c r="D47" s="32" t="str">
        <x:v>mm/s</x:v>
      </x:c>
      <x:c r="E47" s="34" t="str">
        <x:f>IF(C47&lt;=B47,"정상","이상")</x:f>
        <x:v>이상</x:v>
      </x:c>
    </x:row>
    <x:row r="48">
      <x:c r="A48" s="32" t="str">
        <x:v>토출압력</x:v>
      </x:c>
      <x:c r="B48" s="75" t="n">
        <x:v>10</x:v>
      </x:c>
      <x:c r="C48" s="76" t="n">
        <x:v>9.2</x:v>
      </x:c>
      <x:c r="D48" s="32" t="str">
        <x:v>bar</x:v>
      </x:c>
      <x:c r="E48" s="31" t="str">
        <x:f>IF(C48&lt;=B48,"정상","이상")</x:f>
        <x:v>정상</x:v>
      </x:c>
    </x:row>
    <x:row r="49">
      <x:c r="A49" s="32" t="str">
        <x:v>베어링온도</x:v>
      </x:c>
      <x:c r="B49" s="75" t="n">
        <x:v>85</x:v>
      </x:c>
      <x:c r="C49" s="76" t="n">
        <x:v>90</x:v>
      </x:c>
      <x:c r="D49" s="32" t="str">
        <x:v>℃</x:v>
      </x:c>
      <x:c r="E49" s="34" t="str">
        <x:f>IF(C49&lt;=B49,"정상","이상")</x:f>
        <x:v>이상</x:v>
      </x:c>
    </x:row>
    <x:row r="50">
      <x:c r="A50" s="82" t="str">
        <x:v>종합판정</x:v>
      </x:c>
      <x:c r="B50" s="82"/>
      <x:c r="C50" s="82"/>
      <x:c r="D50" s="34" t="str">
        <x:f>IF(COUNTIF(E47:E49,"이상")&gt;0,"정비 필요","정상")</x:f>
        <x:v>정비 필요</x:v>
      </x:c>
      <x:c r="E50" s="34"/>
    </x:row>
    <x:row r="51">
      <x:c r="A51" s="88" t="str">
        <x:v>특이사항: 진동/온도 이상. 정비 요청</x:v>
      </x:c>
      <x:c r="B51" s="88"/>
      <x:c r="C51" s="88"/>
      <x:c r="D51" s="88"/>
      <x:c r="E51" s="88"/>
      <x:c r="F51" s="88"/>
      <x:c r="G51" s="88"/>
      <x:c r="H51" s="88"/>
    </x:row>
    <x:row r="52">
      <x:c r="A52" s="88"/>
      <x:c r="B52" s="88"/>
      <x:c r="C52" s="88"/>
      <x:c r="D52" s="88"/>
      <x:c r="E52" s="88"/>
      <x:c r="F52" s="88"/>
      <x:c r="G52" s="88"/>
      <x:c r="H52" s="88"/>
    </x:row>
  </x:sheetData>
  <x:mergeCells>
    <x:mergeCell ref="A1:H2"/>
    <x:mergeCell ref="J2:K2"/>
    <x:mergeCell ref="A4:H4"/>
    <x:mergeCell ref="D5:E5"/>
    <x:mergeCell ref="D6:E6"/>
    <x:mergeCell ref="A11:C11"/>
    <x:mergeCell ref="D11:E11"/>
    <x:mergeCell ref="A12:H13"/>
    <x:mergeCell ref="A17:H17"/>
    <x:mergeCell ref="D18:E18"/>
    <x:mergeCell ref="D19:E19"/>
    <x:mergeCell ref="A24:C24"/>
    <x:mergeCell ref="D24:E24"/>
    <x:mergeCell ref="A25:H26"/>
    <x:mergeCell ref="A30:H30"/>
    <x:mergeCell ref="D31:E31"/>
    <x:mergeCell ref="D32:E32"/>
    <x:mergeCell ref="A37:C37"/>
    <x:mergeCell ref="D37:E37"/>
    <x:mergeCell ref="A38:H39"/>
    <x:mergeCell ref="A43:H43"/>
    <x:mergeCell ref="D44:E44"/>
    <x:mergeCell ref="D45:E45"/>
    <x:mergeCell ref="A50:C50"/>
    <x:mergeCell ref="D50:E50"/>
    <x:mergeCell ref="A51:H52"/>
  </x:mergeCells>
  <x:pageMargins left="0.7" right="0.7" top="0.75" bottom="0.75" header="0.3" footer="0.3"/>
  <x:drawing xmlns:r="http://schemas.openxmlformats.org/officeDocument/2006/relationships" r:id="Rdbed5c06be4141a4"/>
</x:worksheet>
</file>