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3b4ad1b51541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검사결과" sheetId="1" r:id="R734cd0bed0e24555"/>
    <x:sheet xmlns:r="http://schemas.openxmlformats.org/officeDocument/2006/relationships" name="계산근거" sheetId="2" r:id="R4e7bd024906541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D9EAF7"/>
      </x:patternFill>
    </x:fill>
  </x:fills>
  <x:borders count="24">
    <x:border/>
    <x:border/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9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2" fillId="3" borderId="10" xfId="0" applyNumberFormat="1" applyFont="1" applyFill="1" applyBorder="1" applyAlignment="1">
      <x:alignment horizontal="center" vertical="center" wrapText="1"/>
    </x:xf>
    <x:xf numFmtId="0" fontId="2" fillId="3" borderId="11" xfId="0" applyNumberFormat="1" applyFont="1" applyFill="1" applyBorder="1" applyAlignment="1">
      <x:alignment horizontal="center" vertical="center" wrapText="1"/>
    </x:xf>
    <x:xf numFmtId="0" fontId="2" fillId="3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4" borderId="5" xfId="0" applyNumberFormat="1" applyFont="1" applyFill="1" applyBorder="1"/>
    <x:xf numFmtId="0" fontId="0" fillId="4" borderId="0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13" xfId="0" applyNumberFormat="1" applyFont="1" applyFill="1" applyBorder="1"/>
    <x:xf numFmtId="0" fontId="0" fillId="4" borderId="1" xfId="0" applyNumberFormat="1" applyFont="1" applyFill="1" applyBorder="1"/>
    <x:xf numFmtId="0" fontId="0" fillId="4" borderId="15" xfId="0" applyNumberFormat="1" applyFont="1" applyFill="1" applyBorder="1"/>
    <x:xf numFmtId="0" fontId="0" fillId="4" borderId="16" xfId="0" applyNumberFormat="1" applyFont="1" applyFill="1" applyBorder="1"/>
    <x:xf numFmtId="0" fontId="0" fillId="5" borderId="0" xfId="0" applyNumberFormat="1" applyFont="1" applyFill="1" applyBorder="1"/>
    <x:xf numFmtId="0" fontId="0" fillId="5" borderId="6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4" xfId="0" applyNumberFormat="1" applyFont="1" applyFill="1" applyBorder="1"/>
    <x:xf numFmtId="0" fontId="0" fillId="5" borderId="16" xfId="0" applyNumberFormat="1" applyFont="1" applyFill="1" applyBorder="1"/>
    <x:xf numFmtId="0" fontId="0" fillId="5" borderId="17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4" borderId="5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4" borderId="7" xfId="0" applyNumberFormat="1" applyFont="1" applyFill="1" applyBorder="1" applyAlignment="1">
      <x:alignment wrapText="1"/>
    </x:xf>
    <x:xf numFmtId="0" fontId="0" fillId="4" borderId="8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13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4" xfId="0" applyNumberFormat="1" applyFont="1" applyFill="1" applyBorder="1" applyAlignment="1">
      <x:alignment wrapText="1"/>
    </x:xf>
    <x:xf numFmtId="0" fontId="0" fillId="4" borderId="15" xfId="0" applyNumberFormat="1" applyFont="1" applyFill="1" applyBorder="1" applyAlignment="1">
      <x:alignment wrapText="1"/>
    </x:xf>
    <x:xf numFmtId="0" fontId="0" fillId="4" borderId="16" xfId="0" applyNumberFormat="1" applyFont="1" applyFill="1" applyBorder="1" applyAlignment="1">
      <x:alignment wrapText="1"/>
    </x:xf>
    <x:xf numFmtId="0" fontId="0" fillId="5" borderId="16" xfId="0" applyNumberFormat="1" applyFont="1" applyFill="1" applyBorder="1" applyAlignment="1">
      <x:alignment wrapText="1"/>
    </x:xf>
    <x:xf numFmtId="0" fontId="0" fillId="5" borderId="17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horizontal="center"/>
    </x:xf>
    <x:xf numFmtId="0" fontId="3" fillId="6" borderId="1" xfId="0" applyNumberFormat="1" applyFont="1" applyFill="1" applyBorder="1" applyAlignment="1">
      <x:alignment horizontal="center" vertical="center"/>
    </x:xf>
    <x:xf numFmtId="0" fontId="2" fillId="3" borderId="18" xfId="0" applyNumberFormat="1" applyFont="1" applyFill="1" applyBorder="1" applyAlignment="1">
      <x:alignment horizontal="center" vertical="center" wrapText="1"/>
    </x:xf>
    <x:xf numFmtId="0" fontId="0" fillId="5" borderId="19" xfId="0" applyNumberFormat="1" applyFont="1" applyFill="1" applyBorder="1"/>
    <x:xf numFmtId="0" fontId="0" fillId="5" borderId="20" xfId="0" applyNumberFormat="1" applyFont="1" applyFill="1" applyBorder="1"/>
    <x:xf numFmtId="0" fontId="2" fillId="3" borderId="21" xfId="0" applyNumberFormat="1" applyFont="1" applyFill="1" applyBorder="1" applyAlignment="1">
      <x:alignment horizontal="center" vertical="center" wrapText="1"/>
    </x:xf>
    <x:xf numFmtId="0" fontId="0" fillId="5" borderId="22" xfId="0" applyNumberFormat="1" applyFont="1" applyFill="1" applyBorder="1"/>
    <x:xf numFmtId="0" fontId="0" fillId="5" borderId="23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</x:cellXfs>
  <x:cellStyles count="1">
    <x:cellStyle name="Normal" xfId="0"/>
  </x:cellStyles>
  <x:dxfs count="1">
    <x:dxf>
      <x:font>
        <x:b/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f3077e660f407a" /><Relationship Type="http://schemas.openxmlformats.org/officeDocument/2006/relationships/theme" Target="/xl/theme/theme1.xml" Id="R6f01a93d9ca544a4" /><Relationship Type="http://schemas.openxmlformats.org/officeDocument/2006/relationships/sharedStrings" Target="/xl/sharedStrings.xml" Id="R9d2769bf947b4950" /><Relationship Type="http://schemas.openxmlformats.org/officeDocument/2006/relationships/worksheet" Target="/xl/worksheets/sheet1.xml" Id="R734cd0bed0e24555" /><Relationship Type="http://schemas.openxmlformats.org/officeDocument/2006/relationships/worksheet" Target="/xl/worksheets/sheet2.xml" Id="R4e7bd024906541c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14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</x:cols>
  <x:sheetData>
    <x:row r="1">
      <x:c r="A1" s="6" t="str">
        <x:v>QC Laboratory Result Sheet R4 — 시료/LOT 가로배치</x:v>
      </x:c>
      <x:c r="B1" s="6"/>
      <x:c r="C1" s="6"/>
      <x:c r="D1" s="6"/>
      <x:c r="E1" s="6"/>
      <x:c r="F1" s="6"/>
      <x:c r="G1" s="6"/>
      <x:c r="H1" s="6"/>
      <x:c r="I1" s="6"/>
      <x:c r="J1" s="6"/>
    </x:row>
    <x:row r="2">
      <x:c r="A2" s="6"/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55"/>
      <x:c r="B3" s="55"/>
      <x:c r="C3" s="55"/>
      <x:c r="D3" s="55"/>
      <x:c r="E3" s="55"/>
      <x:c r="F3" s="55"/>
      <x:c r="G3" s="55"/>
      <x:c r="H3" s="55"/>
      <x:c r="I3" s="55"/>
      <x:c r="J3" s="55"/>
    </x:row>
    <x:row r="4">
      <x:c r="A4" s="22" t="str">
        <x:v>시험항목</x:v>
      </x:c>
      <x:c r="B4" s="23" t="str">
        <x:v>Symbol / KR</x:v>
      </x:c>
      <x:c r="C4" s="23" t="str">
        <x:v>Unit</x:v>
      </x:c>
      <x:c r="D4" s="23" t="str">
        <x:v>BT26821</x:v>
      </x:c>
      <x:c r="E4" s="23" t="str">
        <x:v>BT26822</x:v>
      </x:c>
      <x:c r="F4" s="23" t="str">
        <x:v>BT26823</x:v>
      </x:c>
      <x:c r="G4" s="23" t="str">
        <x:v>BT26824</x:v>
      </x:c>
      <x:c r="H4" s="23" t="str">
        <x:v>BT26825</x:v>
      </x:c>
      <x:c r="I4" s="23" t="str">
        <x:v>BT26826</x:v>
      </x:c>
      <x:c r="J4" s="24" t="str">
        <x:v>BT26827</x:v>
      </x:c>
      <x:c r="K4" s="81" t="str">
        <x:v>BT26828</x:v>
      </x:c>
    </x:row>
    <x:row r="5">
      <x:c r="A5" s="56" t="str">
        <x:v>Reactor Temperature</x:v>
      </x:c>
      <x:c r="B5" s="57" t="str">
        <x:v>T_rxn / 반응기온도</x:v>
      </x:c>
      <x:c r="C5" s="57" t="str">
        <x:v>K</x:v>
      </x:c>
      <x:c r="D5" s="58" t="n">
        <x:v>348.15</x:v>
      </x:c>
      <x:c r="E5" s="58" t="n">
        <x:v>349.45</x:v>
      </x:c>
      <x:c r="F5" s="58" t="n">
        <x:v>350.75</x:v>
      </x:c>
      <x:c r="G5" s="58" t="n">
        <x:v>352.05</x:v>
      </x:c>
      <x:c r="H5" s="58" t="n">
        <x:v>353.35</x:v>
      </x:c>
      <x:c r="I5" s="58" t="n">
        <x:v>354.65</x:v>
      </x:c>
      <x:c r="J5" s="59" t="n">
        <x:v>355.95</x:v>
      </x:c>
      <x:c r="K5" s="82" t="n">
        <x:v>357.25</x:v>
      </x:c>
    </x:row>
    <x:row r="6">
      <x:c r="A6" s="56" t="str">
        <x:v>Pressure</x:v>
      </x:c>
      <x:c r="B6" s="57" t="str">
        <x:v>P_rxn</x:v>
      </x:c>
      <x:c r="C6" s="57" t="str">
        <x:v>MPa</x:v>
      </x:c>
      <x:c r="D6" s="58" t="n">
        <x:v>0.16</x:v>
      </x:c>
      <x:c r="E6" s="58" t="n">
        <x:v>0.168</x:v>
      </x:c>
      <x:c r="F6" s="58" t="n">
        <x:v>0.176</x:v>
      </x:c>
      <x:c r="G6" s="58" t="n">
        <x:v>0.184</x:v>
      </x:c>
      <x:c r="H6" s="58" t="n">
        <x:v>0.192</x:v>
      </x:c>
      <x:c r="I6" s="58" t="n">
        <x:v>0.2</x:v>
      </x:c>
      <x:c r="J6" s="59" t="n">
        <x:v>0.208</x:v>
      </x:c>
      <x:c r="K6" s="82" t="n">
        <x:v>0.216</x:v>
      </x:c>
    </x:row>
    <x:row r="7">
      <x:c r="A7" s="56" t="str">
        <x:v>Sample Charge</x:v>
      </x:c>
      <x:c r="B7" s="57" t="str">
        <x:v>W_in / 투입질량</x:v>
      </x:c>
      <x:c r="C7" s="57" t="str">
        <x:v>g</x:v>
      </x:c>
      <x:c r="D7" s="58" t="n">
        <x:v>4800000</x:v>
      </x:c>
      <x:c r="E7" s="58" t="n">
        <x:v>4920000</x:v>
      </x:c>
      <x:c r="F7" s="58" t="n">
        <x:v>5040000</x:v>
      </x:c>
      <x:c r="G7" s="58" t="n">
        <x:v>5160000</x:v>
      </x:c>
      <x:c r="H7" s="58" t="n">
        <x:v>5280000</x:v>
      </x:c>
      <x:c r="I7" s="58" t="n">
        <x:v>5400000</x:v>
      </x:c>
      <x:c r="J7" s="59" t="n">
        <x:v>5520000</x:v>
      </x:c>
      <x:c r="K7" s="82" t="n">
        <x:v>5640000</x:v>
      </x:c>
    </x:row>
    <x:row r="8">
      <x:c r="A8" s="56" t="str">
        <x:v>Recovered Product</x:v>
      </x:c>
      <x:c r="B8" s="57" t="str">
        <x:v>W_out</x:v>
      </x:c>
      <x:c r="C8" s="57" t="str">
        <x:v>g</x:v>
      </x:c>
      <x:c r="D8" s="58" t="n">
        <x:v>4584000</x:v>
      </x:c>
      <x:c r="E8" s="58" t="n">
        <x:v>4678920</x:v>
      </x:c>
      <x:c r="F8" s="58" t="n">
        <x:v>4772880</x:v>
      </x:c>
      <x:c r="G8" s="58" t="n">
        <x:v>4927800</x:v>
      </x:c>
      <x:c r="H8" s="58" t="n">
        <x:v>5021280</x:v>
      </x:c>
      <x:c r="I8" s="58" t="n">
        <x:v>5113800</x:v>
      </x:c>
      <x:c r="J8" s="59" t="n">
        <x:v>5271600</x:v>
      </x:c>
      <x:c r="K8" s="82" t="n">
        <x:v>5363640</x:v>
      </x:c>
    </x:row>
    <x:row r="9">
      <x:c r="A9" s="56" t="str">
        <x:v>Dynamic Viscosity</x:v>
      </x:c>
      <x:c r="B9" s="57" t="str">
        <x:v>η / 점도</x:v>
      </x:c>
      <x:c r="C9" s="57" t="str">
        <x:v>Pa·s</x:v>
      </x:c>
      <x:c r="D9" s="58" t="n">
        <x:v>0.118</x:v>
      </x:c>
      <x:c r="E9" s="58" t="n">
        <x:v>0.1265</x:v>
      </x:c>
      <x:c r="F9" s="58" t="n">
        <x:v>0.135</x:v>
      </x:c>
      <x:c r="G9" s="58" t="n">
        <x:v>0.1435</x:v>
      </x:c>
      <x:c r="H9" s="58" t="n">
        <x:v>0.152</x:v>
      </x:c>
      <x:c r="I9" s="58" t="n">
        <x:v>0.1605</x:v>
      </x:c>
      <x:c r="J9" s="59" t="n">
        <x:v>0.169</x:v>
      </x:c>
      <x:c r="K9" s="82" t="n">
        <x:v>0.1775</x:v>
      </x:c>
    </x:row>
    <x:row r="10">
      <x:c r="A10" s="56" t="str">
        <x:v>Nonvolatile Matter</x:v>
      </x:c>
      <x:c r="B10" s="57" t="str">
        <x:v>NV / 고형분</x:v>
      </x:c>
      <x:c r="C10" s="57" t="str">
        <x:v>% (w/w)</x:v>
      </x:c>
      <x:c r="D10" s="58" t="n">
        <x:v>47</x:v>
      </x:c>
      <x:c r="E10" s="58" t="n">
        <x:v>48.2</x:v>
      </x:c>
      <x:c r="F10" s="58" t="n">
        <x:v>49.4</x:v>
      </x:c>
      <x:c r="G10" s="58" t="n">
        <x:v>50.6</x:v>
      </x:c>
      <x:c r="H10" s="58" t="n">
        <x:v>47</x:v>
      </x:c>
      <x:c r="I10" s="58" t="n">
        <x:v>48.2</x:v>
      </x:c>
      <x:c r="J10" s="59" t="n">
        <x:v>49.4</x:v>
      </x:c>
      <x:c r="K10" s="82" t="n">
        <x:v>50.6</x:v>
      </x:c>
    </x:row>
    <x:row r="11">
      <x:c r="A11" s="56" t="str">
        <x:v>Water Content</x:v>
      </x:c>
      <x:c r="B11" s="57" t="str">
        <x:v>H2O / 수분</x:v>
      </x:c>
      <x:c r="C11" s="57" t="str">
        <x:v>mass%</x:v>
      </x:c>
      <x:c r="D11" s="58" t="n">
        <x:v>0.021</x:v>
      </x:c>
      <x:c r="E11" s="58" t="n">
        <x:v>0.024</x:v>
      </x:c>
      <x:c r="F11" s="58" t="n">
        <x:v>0.018</x:v>
      </x:c>
      <x:c r="G11" s="58" t="n">
        <x:v>0.026</x:v>
      </x:c>
      <x:c r="H11" s="58" t="n">
        <x:v>0.031</x:v>
      </x:c>
      <x:c r="I11" s="58" t="n">
        <x:v>0.015</x:v>
      </x:c>
      <x:c r="J11" s="59" t="n">
        <x:v>0.0275</x:v>
      </x:c>
      <x:c r="K11" s="82" t="n">
        <x:v>0.022</x:v>
      </x:c>
    </x:row>
    <x:row r="12">
      <x:c r="A12" s="60" t="str">
        <x:v>Reject Particle Count</x:v>
      </x:c>
      <x:c r="B12" s="61" t="str">
        <x:v>Particle NG</x:v>
      </x:c>
      <x:c r="C12" s="61" t="str">
        <x:v>count</x:v>
      </x:c>
      <x:c r="D12" s="62" t="n">
        <x:v>0</x:v>
      </x:c>
      <x:c r="E12" s="62" t="n">
        <x:v>1</x:v>
      </x:c>
      <x:c r="F12" s="62" t="n">
        <x:v>0</x:v>
      </x:c>
      <x:c r="G12" s="62" t="n">
        <x:v>3</x:v>
      </x:c>
      <x:c r="H12" s="62" t="n">
        <x:v>7</x:v>
      </x:c>
      <x:c r="I12" s="62" t="n">
        <x:v>0</x:v>
      </x:c>
      <x:c r="J12" s="63" t="n">
        <x:v>2</x:v>
      </x:c>
      <x:c r="K12" s="83" t="n">
        <x:v>4</x:v>
      </x:c>
    </x:row>
    <x:row r="15">
      <x:c r="A15" s="76" t="str">
        <x:v>Release Summary — 각 LOT 판정</x:v>
      </x:c>
      <x:c r="B15" s="76"/>
      <x:c r="C15" s="76"/>
      <x:c r="D15" s="76"/>
      <x:c r="E15" s="76"/>
      <x:c r="F15" s="76"/>
      <x:c r="G15" s="76"/>
      <x:c r="H15" s="76"/>
      <x:c r="I15" s="76"/>
      <x:c r="J15" s="76"/>
    </x:row>
    <x:row r="16">
      <x:c r="A16" s="16" t="str">
        <x:v>Rule</x:v>
      </x:c>
      <x:c r="B16" s="16" t="str"/>
      <x:c r="C16" s="16" t="str"/>
      <x:c r="D16" s="16" t="str">
        <x:v>BT26821</x:v>
      </x:c>
      <x:c r="E16" s="16" t="str">
        <x:v>BT26822</x:v>
      </x:c>
      <x:c r="F16" s="16" t="str">
        <x:v>BT26823</x:v>
      </x:c>
      <x:c r="G16" s="16" t="str">
        <x:v>BT26824</x:v>
      </x:c>
      <x:c r="H16" s="16" t="str">
        <x:v>BT26825</x:v>
      </x:c>
      <x:c r="I16" s="16" t="str">
        <x:v>BT26826</x:v>
      </x:c>
      <x:c r="J16" s="16" t="str">
        <x:v>BT26827</x:v>
      </x:c>
      <x:c r="K16" s="16" t="str">
        <x:v>BT26828</x:v>
      </x:c>
    </x:row>
    <x:row r="17">
      <x:c r="A17" s="87" t="str">
        <x:v>Temp &lt;= 355.15K</x:v>
      </x:c>
      <x:c r="B17" s="88" t="str"/>
      <x:c r="C17" s="88" t="str"/>
      <x:c r="D17" s="88" t="b">
        <x:f>D5&lt;=355.15</x:f>
        <x:v>1</x:v>
      </x:c>
      <x:c r="E17" s="88" t="b">
        <x:f>E5&lt;=355.15</x:f>
        <x:v>1</x:v>
      </x:c>
      <x:c r="F17" s="88" t="b">
        <x:f>F5&lt;=355.15</x:f>
        <x:v>1</x:v>
      </x:c>
      <x:c r="G17" s="88" t="b">
        <x:f>G5&lt;=355.15</x:f>
        <x:v>1</x:v>
      </x:c>
      <x:c r="H17" s="88" t="b">
        <x:f>H5&lt;=355.15</x:f>
        <x:v>1</x:v>
      </x:c>
      <x:c r="I17" s="88" t="b">
        <x:f>I5&lt;=355.15</x:f>
        <x:v>1</x:v>
      </x:c>
      <x:c r="J17" s="88" t="b">
        <x:f>J5&lt;=355.15</x:f>
        <x:v>0</x:v>
      </x:c>
      <x:c r="K17" s="89" t="b">
        <x:f>K5&lt;=355.15</x:f>
        <x:v>0</x:v>
      </x:c>
    </x:row>
    <x:row r="18">
      <x:c r="A18" s="25" t="str">
        <x:v>Reject &lt;= 5</x:v>
      </x:c>
      <x:c r="B18" s="26" t="str"/>
      <x:c r="C18" s="26" t="str"/>
      <x:c r="D18" s="26" t="b">
        <x:f>D12&lt;=5</x:f>
        <x:v>1</x:v>
      </x:c>
      <x:c r="E18" s="26" t="b">
        <x:f>E12&lt;=5</x:f>
        <x:v>1</x:v>
      </x:c>
      <x:c r="F18" s="26" t="b">
        <x:f>F12&lt;=5</x:f>
        <x:v>1</x:v>
      </x:c>
      <x:c r="G18" s="26" t="b">
        <x:f>G12&lt;=5</x:f>
        <x:v>1</x:v>
      </x:c>
      <x:c r="H18" s="26" t="b">
        <x:f>H12&lt;=5</x:f>
        <x:v>0</x:v>
      </x:c>
      <x:c r="I18" s="26" t="b">
        <x:f>I12&lt;=5</x:f>
        <x:v>1</x:v>
      </x:c>
      <x:c r="J18" s="26" t="b">
        <x:f>J12&lt;=5</x:f>
        <x:v>1</x:v>
      </x:c>
      <x:c r="K18" s="27" t="b">
        <x:f>K12&lt;=5</x:f>
        <x:v>1</x:v>
      </x:c>
    </x:row>
    <x:row r="19">
      <x:c r="A19" s="28" t="str">
        <x:v>Final</x:v>
      </x:c>
      <x:c r="B19" s="29" t="str"/>
      <x:c r="C19" s="29" t="str"/>
      <x:c r="D19" s="29" t="str">
        <x:f>IF(AND(D17,D18),"PASS","HOLD")</x:f>
        <x:v>PASS</x:v>
      </x:c>
      <x:c r="E19" s="29" t="str">
        <x:f>IF(AND(E17,E18),"PASS","HOLD")</x:f>
        <x:v>PASS</x:v>
      </x:c>
      <x:c r="F19" s="29" t="str">
        <x:f>IF(AND(F17,F18),"PASS","HOLD")</x:f>
        <x:v>PASS</x:v>
      </x:c>
      <x:c r="G19" s="29" t="str">
        <x:f>IF(AND(G17,G18),"PASS","HOLD")</x:f>
        <x:v>PASS</x:v>
      </x:c>
      <x:c r="H19" s="29" t="str">
        <x:f>IF(AND(H17,H18),"PASS","HOLD")</x:f>
        <x:v>HOLD</x:v>
      </x:c>
      <x:c r="I19" s="29" t="str">
        <x:f>IF(AND(I17,I18),"PASS","HOLD")</x:f>
        <x:v>PASS</x:v>
      </x:c>
      <x:c r="J19" s="29" t="str">
        <x:f>IF(AND(J17,J18),"PASS","HOLD")</x:f>
        <x:v>HOLD</x:v>
      </x:c>
      <x:c r="K19" s="30" t="str">
        <x:f>IF(AND(K17,K18),"PASS","HOLD")</x:f>
        <x:v>HOLD</x:v>
      </x:c>
    </x:row>
  </x:sheetData>
  <x:mergeCells>
    <x:mergeCell ref="A1:J2"/>
    <x:mergeCell ref="A15:J15"/>
  </x:mergeCells>
  <x:conditionalFormatting sqref="D19:K19">
    <x:cfRule type="expression" dxfId="0" priority="1">
      <x:formula>D19="HOLD"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>
      <x:c r="A1" s="22" t="str">
        <x:v>Canonical concept</x:v>
      </x:c>
      <x:c r="B1" s="23" t="str">
        <x:v>QC label</x:v>
      </x:c>
      <x:c r="C1" s="23" t="str">
        <x:v>QC unit</x:v>
      </x:c>
      <x:c r="D1" s="23" t="str">
        <x:v>Canonical unit</x:v>
      </x:c>
      <x:c r="E1" s="23" t="str">
        <x:v>Conversion</x:v>
      </x:c>
      <x:c r="F1" s="24" t="str">
        <x:v>Example</x:v>
      </x:c>
    </x:row>
    <x:row r="2">
      <x:c r="A2" s="25" t="str">
        <x:v>반응온도</x:v>
      </x:c>
      <x:c r="B2" s="26" t="str">
        <x:v>Reactor Temperature</x:v>
      </x:c>
      <x:c r="C2" s="26" t="str">
        <x:v>K</x:v>
      </x:c>
      <x:c r="D2" s="26" t="str">
        <x:v>°C</x:v>
      </x:c>
      <x:c r="E2" s="26" t="str">
        <x:v>°C = K - 273.15</x:v>
      </x:c>
      <x:c r="F2" s="27" t="str">
        <x:v>348.15K → 75°C</x:v>
      </x:c>
    </x:row>
    <x:row r="3">
      <x:c r="A3" s="25" t="str">
        <x:v>압력</x:v>
      </x:c>
      <x:c r="B3" s="26" t="str">
        <x:v>Pressure</x:v>
      </x:c>
      <x:c r="C3" s="26" t="str">
        <x:v>MPa</x:v>
      </x:c>
      <x:c r="D3" s="26" t="str">
        <x:v>bar</x:v>
      </x:c>
      <x:c r="E3" s="26" t="str">
        <x:v>bar = MPa × 10</x:v>
      </x:c>
      <x:c r="F3" s="27" t="str">
        <x:v>0.16MPa → 1.6bar</x:v>
      </x:c>
    </x:row>
    <x:row r="4">
      <x:c r="A4" s="25" t="str">
        <x:v>투입량</x:v>
      </x:c>
      <x:c r="B4" s="26" t="str">
        <x:v>Sample Charge</x:v>
      </x:c>
      <x:c r="C4" s="26" t="str">
        <x:v>g</x:v>
      </x:c>
      <x:c r="D4" s="26" t="str">
        <x:v>kg</x:v>
      </x:c>
      <x:c r="E4" s="26" t="str">
        <x:v>kg = g / 1000</x:v>
      </x:c>
      <x:c r="F4" s="27" t="str">
        <x:v>4,800,000g → 4800kg</x:v>
      </x:c>
    </x:row>
    <x:row r="5">
      <x:c r="A5" s="25" t="str">
        <x:v>산출량</x:v>
      </x:c>
      <x:c r="B5" s="26" t="str">
        <x:v>Recovered Product</x:v>
      </x:c>
      <x:c r="C5" s="26" t="str">
        <x:v>g</x:v>
      </x:c>
      <x:c r="D5" s="26" t="str">
        <x:v>kg</x:v>
      </x:c>
      <x:c r="E5" s="26" t="str">
        <x:v>kg = g / 1000</x:v>
      </x:c>
      <x:c r="F5" s="27" t="str">
        <x:v>4,584,000g → 4584kg</x:v>
      </x:c>
    </x:row>
    <x:row r="6">
      <x:c r="A6" s="25" t="str">
        <x:v>점도</x:v>
      </x:c>
      <x:c r="B6" s="26" t="str">
        <x:v>Dynamic Viscosity</x:v>
      </x:c>
      <x:c r="C6" s="26" t="str">
        <x:v>Pa·s</x:v>
      </x:c>
      <x:c r="D6" s="26" t="str">
        <x:v>cP</x:v>
      </x:c>
      <x:c r="E6" s="26" t="str">
        <x:v>cP = Pa·s × 1000</x:v>
      </x:c>
      <x:c r="F6" s="27" t="str">
        <x:v>0.118 → 118cP</x:v>
      </x:c>
    </x:row>
    <x:row r="7">
      <x:c r="A7" s="25" t="str">
        <x:v>고형분</x:v>
      </x:c>
      <x:c r="B7" s="26" t="str">
        <x:v>Nonvolatile Matter</x:v>
      </x:c>
      <x:c r="C7" s="26" t="str">
        <x:v>%</x:v>
      </x:c>
      <x:c r="D7" s="26" t="str">
        <x:v>wt%</x:v>
      </x:c>
      <x:c r="E7" s="26" t="str">
        <x:v>identity</x:v>
      </x:c>
      <x:c r="F7" s="27" t="str">
        <x:v>47 → 47wt%</x:v>
      </x:c>
    </x:row>
    <x:row r="8">
      <x:c r="A8" s="25" t="str">
        <x:v>수분</x:v>
      </x:c>
      <x:c r="B8" s="26" t="str">
        <x:v>Water Content</x:v>
      </x:c>
      <x:c r="C8" s="26" t="str">
        <x:v>mass%</x:v>
      </x:c>
      <x:c r="D8" s="26" t="str">
        <x:v>ppm</x:v>
      </x:c>
      <x:c r="E8" s="26" t="str">
        <x:v>ppm = % × 10000</x:v>
      </x:c>
      <x:c r="F8" s="27" t="str">
        <x:v>0.021% → 210ppm</x:v>
      </x:c>
    </x:row>
    <x:row r="9">
      <x:c r="A9" s="25" t="str">
        <x:v>불량수</x:v>
      </x:c>
      <x:c r="B9" s="26" t="str">
        <x:v>Reject Particle Count</x:v>
      </x:c>
      <x:c r="C9" s="26" t="str">
        <x:v>count</x:v>
      </x:c>
      <x:c r="D9" s="26" t="str">
        <x:v>EA</x:v>
      </x:c>
      <x:c r="E9" s="26" t="str">
        <x:v>identity</x:v>
      </x:c>
      <x:c r="F9" s="27" t="str">
        <x:v>0 → 0EA</x:v>
      </x:c>
    </x:row>
    <x:row r="10">
      <x:c r="A10" s="25" t="str">
        <x:v>LOT</x:v>
      </x:c>
      <x:c r="B10" s="26" t="str">
        <x:v>Sample/Lot</x:v>
      </x:c>
      <x:c r="C10" s="26" t="str">
        <x:v>-</x:v>
      </x:c>
      <x:c r="D10" s="26" t="str">
        <x:v>-</x:v>
      </x:c>
      <x:c r="E10" s="26" t="str">
        <x:v>identity</x:v>
      </x:c>
      <x:c r="F10" s="27" t="str">
        <x:v>BT26821</x:v>
      </x:c>
    </x:row>
    <x:row r="11">
      <x:c r="A11" s="28" t="str">
        <x:v>주의</x:v>
      </x:c>
      <x:c r="B11" s="29" t="str">
        <x:v>동일 개념이라도 표/축 방향이 다름</x:v>
      </x:c>
      <x:c r="C11" s="29" t="str"/>
      <x:c r="D11" s="29" t="str"/>
      <x:c r="E11" s="29" t="str"/>
      <x:c r="F11" s="30" t="str">
        <x:v>LOT가 열로 진행</x:v>
      </x:c>
    </x:row>
  </x:sheetData>
  <x:pageMargins left="0.7" right="0.7" top="0.75" bottom="0.75" header="0.3" footer="0.3"/>
</x:worksheet>
</file>