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drawings/charts/chart2.xml" ContentType="application/vnd.openxmlformats-officedocument.drawingml.char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8.xml" ContentType="application/vnd.openxmlformats-officedocument.drawing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a5cff6ab8445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_R2" sheetId="1" r:id="Rc5129b79e897414e"/>
    <x:sheet xmlns:r="http://schemas.openxmlformats.org/officeDocument/2006/relationships" name="원가_재료" sheetId="2" r:id="R3e6ed1d6a0aa4373"/>
    <x:sheet xmlns:r="http://schemas.openxmlformats.org/officeDocument/2006/relationships" name="180" sheetId="3" r:id="R2318bb21b0d84e9b"/>
    <x:sheet xmlns:r="http://schemas.openxmlformats.org/officeDocument/2006/relationships" name="185℃" sheetId="4" r:id="Rf8d62699689a4e47"/>
    <x:sheet xmlns:r="http://schemas.openxmlformats.org/officeDocument/2006/relationships" name="oven190" sheetId="5" r:id="R8ea7bd91d69d408d"/>
    <x:sheet xmlns:r="http://schemas.openxmlformats.org/officeDocument/2006/relationships" name="195_best?" sheetId="6" r:id="R8824010fd6e345ee"/>
    <x:sheet xmlns:r="http://schemas.openxmlformats.org/officeDocument/2006/relationships" name="200C" sheetId="7" r:id="R2ae797a8aaf04893"/>
    <x:sheet xmlns:r="http://schemas.openxmlformats.org/officeDocument/2006/relationships" name="T205" sheetId="8" r:id="Rde5cccfa4bd54370"/>
    <x:sheet xmlns:r="http://schemas.openxmlformats.org/officeDocument/2006/relationships" name="210_마지막" sheetId="9" r:id="Ra2ac7038fd084fa4"/>
    <x:sheet xmlns:r="http://schemas.openxmlformats.org/officeDocument/2006/relationships" name="판매옵션_럼토핑" sheetId="10" r:id="R96ebc2438d0c416f"/>
    <x:sheet xmlns:r="http://schemas.openxmlformats.org/officeDocument/2006/relationships" name="작업메모" sheetId="11" r:id="Rdc3da876e6f3463e"/>
    <x:sheet xmlns:r="http://schemas.openxmlformats.org/officeDocument/2006/relationships" name="포장지_디자인" sheetId="12" r:id="R7b794f3c770c443c"/>
    <x:sheet xmlns:r="http://schemas.openxmlformats.org/officeDocument/2006/relationships" name="메모_포장외" sheetId="13" r:id="R3aba63ddbab149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7"/>
      <x:color rgb="FFFFFFFF"/>
      <x:name val="Carlito"/>
    </x:font>
    <x:font>
      <x:b/>
      <x:sz val="10"/>
      <x:color rgb="FFFFFFFF"/>
      <x:name val="Carlito"/>
    </x:font>
    <x:font>
      <x:i/>
      <x:sz val="11"/>
      <x:color rgb="FF7F6000"/>
      <x:name val="Carlito"/>
    </x:font>
    <x:font>
      <x:b/>
      <x:sz val="15"/>
      <x:color rgb="FFFFFFFF"/>
      <x:name val="Carlito"/>
    </x:font>
    <x:font>
      <x:b/>
      <x:sz val="11"/>
      <x:color rgb="FFC00000"/>
      <x:name val="Carlito"/>
    </x:font>
    <x:font>
      <x:b/>
      <x:sz val="10"/>
      <x:color rgb="FF000000"/>
      <x:name val="Carlito"/>
    </x:font>
    <x:font>
      <x:b/>
      <x:sz val="11"/>
      <x:color rgb="FF5B3A1A"/>
      <x:name val="Carlito"/>
    </x:font>
    <x:font>
      <x:b/>
      <x:sz val="11"/>
      <x:color rgb="FFFFFFFF"/>
      <x:name val="Carlito"/>
    </x:font>
    <x:font>
      <x:b/>
      <x:sz val="11"/>
      <x:color rgb="FF274E13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2F5597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  <x:fill>
      <x:patternFill patternType="solid">
        <x:fgColor rgb="FF806000"/>
      </x:patternFill>
    </x:fill>
    <x:fill>
      <x:patternFill patternType="solid">
        <x:fgColor rgb="FFA0522D"/>
      </x:patternFill>
    </x:fill>
    <x:fill>
      <x:patternFill patternType="solid">
        <x:fgColor rgb="FFD9E2F3"/>
      </x:patternFill>
    </x:fill>
    <x:fill>
      <x:patternFill patternType="solid">
        <x:fgColor rgb="FFDDEBF7"/>
      </x:patternFill>
    </x:fill>
    <x:fill>
      <x:patternFill patternType="solid">
        <x:fgColor rgb="FFC00000"/>
      </x:patternFill>
    </x:fill>
    <x:fill>
      <x:patternFill patternType="solid">
        <x:fgColor rgb="FF7F7F7F"/>
      </x:patternFill>
    </x:fill>
    <x:fill>
      <x:patternFill patternType="solid">
        <x:fgColor rgb="FF6B4F2A"/>
      </x:patternFill>
    </x:fill>
    <x:fill>
      <x:patternFill patternType="solid">
        <x:fgColor rgb="FFF4E1C1"/>
      </x:patternFill>
    </x:fill>
    <x:fill>
      <x:patternFill patternType="solid">
        <x:fgColor rgb="FFA0522D"/>
      </x:patternFill>
    </x:fill>
    <x:fill>
      <x:patternFill patternType="solid">
        <x:fgColor rgb="FF806000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7F7F7F"/>
      </x:patternFill>
    </x:fill>
  </x:fills>
  <x:borders count="24">
    <x:border/>
    <x:border/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40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8" xfId="0" applyNumberFormat="1" applyFont="1" applyFill="1" applyBorder="1"/>
    <x:xf numFmtId="0" fontId="2" fillId="3" borderId="19" xfId="0" applyNumberFormat="1" applyFont="1" applyFill="1" applyBorder="1"/>
    <x:xf numFmtId="0" fontId="2" fillId="3" borderId="20" xfId="0" applyNumberFormat="1" applyFont="1" applyFill="1" applyBorder="1"/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2" fillId="3" borderId="20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horizontal="center" wrapText="1"/>
    </x:xf>
    <x:xf numFmtId="0" fontId="2" fillId="3" borderId="19" xfId="0" applyNumberFormat="1" applyFont="1" applyFill="1" applyBorder="1" applyAlignment="1">
      <x:alignment horizontal="center" wrapText="1"/>
    </x:xf>
    <x:xf numFmtId="0" fontId="2" fillId="3" borderId="20" xfId="0" applyNumberFormat="1" applyFont="1" applyFill="1" applyBorder="1" applyAlignment="1">
      <x:alignment horizontal="center" wrapText="1"/>
    </x:xf>
    <x:xf numFmtId="0" fontId="2" fillId="3" borderId="18" xfId="0" applyNumberFormat="1" applyFont="1" applyFill="1" applyBorder="1" applyAlignment="1">
      <x:alignment horizontal="center" vertical="center" wrapText="1"/>
    </x:xf>
    <x:xf numFmtId="0" fontId="2" fillId="3" borderId="19" xfId="0" applyNumberFormat="1" applyFont="1" applyFill="1" applyBorder="1" applyAlignment="1">
      <x:alignment horizontal="center" vertical="center" wrapText="1"/>
    </x:xf>
    <x:xf numFmtId="0" fontId="2" fillId="3" borderId="2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21" xfId="0" applyNumberFormat="1" applyFont="1" applyFill="1" applyBorder="1"/>
    <x:xf numFmtId="0" fontId="2" fillId="3" borderId="22" xfId="0" applyNumberFormat="1" applyFont="1" applyFill="1" applyBorder="1"/>
    <x:xf numFmtId="0" fontId="2" fillId="3" borderId="23" xfId="0" applyNumberFormat="1" applyFont="1" applyFill="1" applyBorder="1"/>
    <x:xf numFmtId="0" fontId="2" fillId="3" borderId="21" xfId="0" applyNumberFormat="1" applyFont="1" applyFill="1" applyBorder="1" applyAlignment="1">
      <x:alignment wrapText="1"/>
    </x:xf>
    <x:xf numFmtId="0" fontId="2" fillId="3" borderId="22" xfId="0" applyNumberFormat="1" applyFont="1" applyFill="1" applyBorder="1" applyAlignment="1">
      <x:alignment wrapText="1"/>
    </x:xf>
    <x:xf numFmtId="0" fontId="2" fillId="3" borderId="23" xfId="0" applyNumberFormat="1" applyFont="1" applyFill="1" applyBorder="1" applyAlignment="1">
      <x:alignment wrapText="1"/>
    </x:xf>
    <x:xf numFmtId="0" fontId="2" fillId="3" borderId="21" xfId="0" applyNumberFormat="1" applyFont="1" applyFill="1" applyBorder="1" applyAlignment="1">
      <x:alignment horizontal="center" wrapText="1"/>
    </x:xf>
    <x:xf numFmtId="0" fontId="2" fillId="3" borderId="22" xfId="0" applyNumberFormat="1" applyFont="1" applyFill="1" applyBorder="1" applyAlignment="1">
      <x:alignment horizontal="center" wrapText="1"/>
    </x:xf>
    <x:xf numFmtId="0" fontId="2" fillId="3" borderId="23" xfId="0" applyNumberFormat="1" applyFont="1" applyFill="1" applyBorder="1" applyAlignment="1">
      <x:alignment horizontal="center" wrapText="1"/>
    </x:xf>
    <x:xf numFmtId="0" fontId="2" fillId="3" borderId="21" xfId="0" applyNumberFormat="1" applyFont="1" applyFill="1" applyBorder="1" applyAlignment="1">
      <x:alignment horizontal="center" vertical="center" wrapText="1"/>
    </x:xf>
    <x:xf numFmtId="0" fontId="2" fillId="3" borderId="22" xfId="0" applyNumberFormat="1" applyFont="1" applyFill="1" applyBorder="1" applyAlignment="1">
      <x:alignment horizontal="center" vertical="center" wrapText="1"/>
    </x:xf>
    <x:xf numFmtId="0" fontId="2" fillId="3" borderId="2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3" fillId="4" borderId="16" xfId="0" applyNumberFormat="1" applyFont="1" applyFill="1" applyBorder="1"/>
    <x:xf numFmtId="0" fontId="3" fillId="4" borderId="17" xfId="0" applyNumberFormat="1" applyFont="1" applyFill="1" applyBorder="1"/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wrapText="1"/>
    </x:xf>
    <x:xf numFmtId="0" fontId="3" fillId="4" borderId="17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18" xfId="0" applyNumberFormat="1" applyFont="1" applyFill="1" applyBorder="1"/>
    <x:xf numFmtId="0" fontId="2" fillId="6" borderId="19" xfId="0" applyNumberFormat="1" applyFont="1" applyFill="1" applyBorder="1"/>
    <x:xf numFmtId="0" fontId="2" fillId="6" borderId="20" xfId="0" applyNumberFormat="1" applyFont="1" applyFill="1" applyBorder="1"/>
    <x:xf numFmtId="0" fontId="2" fillId="6" borderId="18" xfId="0" applyNumberFormat="1" applyFont="1" applyFill="1" applyBorder="1" applyAlignment="1">
      <x:alignment wrapText="1"/>
    </x:xf>
    <x:xf numFmtId="0" fontId="2" fillId="6" borderId="19" xfId="0" applyNumberFormat="1" applyFont="1" applyFill="1" applyBorder="1" applyAlignment="1">
      <x:alignment wrapText="1"/>
    </x:xf>
    <x:xf numFmtId="0" fontId="2" fillId="6" borderId="20" xfId="0" applyNumberFormat="1" applyFont="1" applyFill="1" applyBorder="1" applyAlignment="1">
      <x:alignment wrapText="1"/>
    </x:xf>
    <x:xf numFmtId="0" fontId="2" fillId="6" borderId="18" xfId="0" applyNumberFormat="1" applyFont="1" applyFill="1" applyBorder="1" applyAlignment="1">
      <x:alignment horizontal="center" wrapText="1"/>
    </x:xf>
    <x:xf numFmtId="0" fontId="2" fillId="6" borderId="19" xfId="0" applyNumberFormat="1" applyFont="1" applyFill="1" applyBorder="1" applyAlignment="1">
      <x:alignment horizontal="center" wrapText="1"/>
    </x:xf>
    <x:xf numFmtId="0" fontId="2" fillId="6" borderId="20" xfId="0" applyNumberFormat="1" applyFont="1" applyFill="1" applyBorder="1" applyAlignment="1">
      <x:alignment horizontal="center" wrapText="1"/>
    </x:xf>
    <x:xf numFmtId="0" fontId="2" fillId="6" borderId="18" xfId="0" applyNumberFormat="1" applyFont="1" applyFill="1" applyBorder="1" applyAlignment="1">
      <x:alignment horizontal="center" vertical="center" wrapText="1"/>
    </x:xf>
    <x:xf numFmtId="0" fontId="2" fillId="6" borderId="19" xfId="0" applyNumberFormat="1" applyFont="1" applyFill="1" applyBorder="1" applyAlignment="1">
      <x:alignment horizontal="center" vertical="center" wrapText="1"/>
    </x:xf>
    <x:xf numFmtId="0" fontId="2" fillId="6" borderId="2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21" xfId="0" applyNumberFormat="1" applyFont="1" applyFill="1" applyBorder="1"/>
    <x:xf numFmtId="0" fontId="2" fillId="6" borderId="22" xfId="0" applyNumberFormat="1" applyFont="1" applyFill="1" applyBorder="1"/>
    <x:xf numFmtId="0" fontId="2" fillId="6" borderId="23" xfId="0" applyNumberFormat="1" applyFont="1" applyFill="1" applyBorder="1"/>
    <x:xf numFmtId="0" fontId="2" fillId="6" borderId="21" xfId="0" applyNumberFormat="1" applyFont="1" applyFill="1" applyBorder="1" applyAlignment="1">
      <x:alignment wrapText="1"/>
    </x:xf>
    <x:xf numFmtId="0" fontId="2" fillId="6" borderId="22" xfId="0" applyNumberFormat="1" applyFont="1" applyFill="1" applyBorder="1" applyAlignment="1">
      <x:alignment wrapText="1"/>
    </x:xf>
    <x:xf numFmtId="0" fontId="2" fillId="6" borderId="23" xfId="0" applyNumberFormat="1" applyFont="1" applyFill="1" applyBorder="1" applyAlignment="1">
      <x:alignment wrapText="1"/>
    </x:xf>
    <x:xf numFmtId="0" fontId="2" fillId="6" borderId="21" xfId="0" applyNumberFormat="1" applyFont="1" applyFill="1" applyBorder="1" applyAlignment="1">
      <x:alignment horizontal="center" wrapText="1"/>
    </x:xf>
    <x:xf numFmtId="0" fontId="2" fillId="6" borderId="22" xfId="0" applyNumberFormat="1" applyFont="1" applyFill="1" applyBorder="1" applyAlignment="1">
      <x:alignment horizontal="center" wrapText="1"/>
    </x:xf>
    <x:xf numFmtId="0" fontId="2" fillId="6" borderId="23" xfId="0" applyNumberFormat="1" applyFont="1" applyFill="1" applyBorder="1" applyAlignment="1">
      <x:alignment horizontal="center" wrapText="1"/>
    </x:xf>
    <x:xf numFmtId="0" fontId="2" fillId="6" borderId="21" xfId="0" applyNumberFormat="1" applyFont="1" applyFill="1" applyBorder="1" applyAlignment="1">
      <x:alignment horizontal="center" vertical="center" wrapText="1"/>
    </x:xf>
    <x:xf numFmtId="0" fontId="2" fillId="6" borderId="22" xfId="0" applyNumberFormat="1" applyFont="1" applyFill="1" applyBorder="1" applyAlignment="1">
      <x:alignment horizontal="center" vertical="center" wrapText="1"/>
    </x:xf>
    <x:xf numFmtId="0" fontId="2" fillId="6" borderId="2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4" xfId="0" applyNumberFormat="1" applyFont="1" applyFill="1" applyBorder="1"/>
    <x:xf numFmtId="0" fontId="4" fillId="2" borderId="7" xfId="0" applyNumberFormat="1" applyFont="1" applyFill="1" applyBorder="1"/>
    <x:xf numFmtId="0" fontId="4" fillId="2" borderId="8" xfId="0" applyNumberFormat="1" applyFont="1" applyFill="1" applyBorder="1"/>
    <x:xf numFmtId="0" fontId="4" fillId="2" borderId="9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4" xfId="0" applyNumberFormat="1" applyFont="1" applyFill="1" applyBorder="1" applyAlignment="1">
      <x:alignment wrapText="1"/>
    </x:xf>
    <x:xf numFmtId="0" fontId="4" fillId="2" borderId="7" xfId="0" applyNumberFormat="1" applyFont="1" applyFill="1" applyBorder="1" applyAlignment="1">
      <x:alignment wrapText="1"/>
    </x:xf>
    <x:xf numFmtId="0" fontId="4" fillId="2" borderId="8" xfId="0" applyNumberFormat="1" applyFont="1" applyFill="1" applyBorder="1" applyAlignment="1">
      <x:alignment wrapText="1"/>
    </x:xf>
    <x:xf numFmtId="0" fontId="4" fillId="2" borderId="9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4" xfId="0" applyNumberFormat="1" applyFont="1" applyFill="1" applyBorder="1" applyAlignment="1">
      <x:alignment horizontal="center" wrapText="1"/>
    </x:xf>
    <x:xf numFmtId="0" fontId="4" fillId="2" borderId="7" xfId="0" applyNumberFormat="1" applyFont="1" applyFill="1" applyBorder="1" applyAlignment="1">
      <x:alignment horizontal="center" wrapText="1"/>
    </x:xf>
    <x:xf numFmtId="0" fontId="4" fillId="2" borderId="8" xfId="0" applyNumberFormat="1" applyFont="1" applyFill="1" applyBorder="1" applyAlignment="1">
      <x:alignment horizontal="center" wrapText="1"/>
    </x:xf>
    <x:xf numFmtId="0" fontId="4" fillId="2" borderId="9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4" fillId="2" borderId="7" xfId="0" applyNumberFormat="1" applyFont="1" applyFill="1" applyBorder="1" applyAlignment="1">
      <x:alignment horizontal="center" vertical="center" wrapText="1"/>
    </x:xf>
    <x:xf numFmtId="0" fontId="4" fillId="2" borderId="8" xfId="0" applyNumberFormat="1" applyFont="1" applyFill="1" applyBorder="1" applyAlignment="1">
      <x:alignment horizontal="center" vertical="center" wrapText="1"/>
    </x:xf>
    <x:xf numFmtId="0" fontId="4" fillId="2" borderId="9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0" xfId="0" applyNumberFormat="1" applyFont="1" applyFill="1" applyBorder="1"/>
    <x:xf numFmtId="0" fontId="4" fillId="2" borderId="11" xfId="0" applyNumberFormat="1" applyFont="1" applyFill="1" applyBorder="1"/>
    <x:xf numFmtId="0" fontId="4" fillId="2" borderId="12" xfId="0" applyNumberFormat="1" applyFont="1" applyFill="1" applyBorder="1"/>
    <x:xf numFmtId="0" fontId="4" fillId="2" borderId="15" xfId="0" applyNumberFormat="1" applyFont="1" applyFill="1" applyBorder="1"/>
    <x:xf numFmtId="0" fontId="4" fillId="2" borderId="16" xfId="0" applyNumberFormat="1" applyFont="1" applyFill="1" applyBorder="1"/>
    <x:xf numFmtId="0" fontId="4" fillId="2" borderId="17" xfId="0" applyNumberFormat="1" applyFont="1" applyFill="1" applyBorder="1"/>
    <x:xf numFmtId="0" fontId="4" fillId="2" borderId="10" xfId="0" applyNumberFormat="1" applyFont="1" applyFill="1" applyBorder="1" applyAlignment="1">
      <x:alignment wrapText="1"/>
    </x:xf>
    <x:xf numFmtId="0" fontId="4" fillId="2" borderId="11" xfId="0" applyNumberFormat="1" applyFont="1" applyFill="1" applyBorder="1" applyAlignment="1">
      <x:alignment wrapText="1"/>
    </x:xf>
    <x:xf numFmtId="0" fontId="4" fillId="2" borderId="12" xfId="0" applyNumberFormat="1" applyFont="1" applyFill="1" applyBorder="1" applyAlignment="1">
      <x:alignment wrapText="1"/>
    </x:xf>
    <x:xf numFmtId="0" fontId="4" fillId="2" borderId="15" xfId="0" applyNumberFormat="1" applyFont="1" applyFill="1" applyBorder="1" applyAlignment="1">
      <x:alignment wrapText="1"/>
    </x:xf>
    <x:xf numFmtId="0" fontId="4" fillId="2" borderId="16" xfId="0" applyNumberFormat="1" applyFont="1" applyFill="1" applyBorder="1" applyAlignment="1">
      <x:alignment wrapText="1"/>
    </x:xf>
    <x:xf numFmtId="0" fontId="4" fillId="2" borderId="17" xfId="0" applyNumberFormat="1" applyFont="1" applyFill="1" applyBorder="1" applyAlignment="1">
      <x:alignment wrapText="1"/>
    </x:xf>
    <x:xf numFmtId="0" fontId="4" fillId="2" borderId="10" xfId="0" applyNumberFormat="1" applyFont="1" applyFill="1" applyBorder="1" applyAlignment="1">
      <x:alignment horizontal="center" wrapText="1"/>
    </x:xf>
    <x:xf numFmtId="0" fontId="4" fillId="2" borderId="11" xfId="0" applyNumberFormat="1" applyFont="1" applyFill="1" applyBorder="1" applyAlignment="1">
      <x:alignment horizontal="center" wrapText="1"/>
    </x:xf>
    <x:xf numFmtId="0" fontId="4" fillId="2" borderId="12" xfId="0" applyNumberFormat="1" applyFont="1" applyFill="1" applyBorder="1" applyAlignment="1">
      <x:alignment horizontal="center" wrapText="1"/>
    </x:xf>
    <x:xf numFmtId="0" fontId="4" fillId="2" borderId="15" xfId="0" applyNumberFormat="1" applyFont="1" applyFill="1" applyBorder="1" applyAlignment="1">
      <x:alignment horizontal="center" wrapText="1"/>
    </x:xf>
    <x:xf numFmtId="0" fontId="4" fillId="2" borderId="16" xfId="0" applyNumberFormat="1" applyFont="1" applyFill="1" applyBorder="1" applyAlignment="1">
      <x:alignment horizontal="center" wrapText="1"/>
    </x:xf>
    <x:xf numFmtId="0" fontId="4" fillId="2" borderId="17" xfId="0" applyNumberFormat="1" applyFont="1" applyFill="1" applyBorder="1" applyAlignment="1">
      <x:alignment horizontal="center" wrapText="1"/>
    </x:xf>
    <x:xf numFmtId="0" fontId="4" fillId="2" borderId="10" xfId="0" applyNumberFormat="1" applyFont="1" applyFill="1" applyBorder="1" applyAlignment="1">
      <x:alignment horizontal="center" vertical="center" wrapText="1"/>
    </x:xf>
    <x:xf numFmtId="0" fontId="4" fillId="2" borderId="11" xfId="0" applyNumberFormat="1" applyFont="1" applyFill="1" applyBorder="1" applyAlignment="1">
      <x:alignment horizontal="center" vertical="center" wrapText="1"/>
    </x:xf>
    <x:xf numFmtId="0" fontId="4" fillId="2" borderId="12" xfId="0" applyNumberFormat="1" applyFont="1" applyFill="1" applyBorder="1" applyAlignment="1">
      <x:alignment horizontal="center" vertical="center" wrapText="1"/>
    </x:xf>
    <x:xf numFmtId="0" fontId="4" fillId="2" borderId="15" xfId="0" applyNumberFormat="1" applyFont="1" applyFill="1" applyBorder="1" applyAlignment="1">
      <x:alignment horizontal="center" vertical="center" wrapText="1"/>
    </x:xf>
    <x:xf numFmtId="0" fontId="4" fillId="2" borderId="16" xfId="0" applyNumberFormat="1" applyFont="1" applyFill="1" applyBorder="1" applyAlignment="1">
      <x:alignment horizontal="center" vertical="center" wrapText="1"/>
    </x:xf>
    <x:xf numFmtId="0" fontId="4" fillId="2" borderId="17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8" xfId="0" applyNumberFormat="1" applyFont="1" applyFill="1" applyBorder="1"/>
    <x:xf numFmtId="0" fontId="6" fillId="7" borderId="19" xfId="0" applyNumberFormat="1" applyFont="1" applyFill="1" applyBorder="1"/>
    <x:xf numFmtId="0" fontId="6" fillId="7" borderId="20" xfId="0" applyNumberFormat="1" applyFont="1" applyFill="1" applyBorder="1"/>
    <x:xf numFmtId="0" fontId="6" fillId="7" borderId="18" xfId="0" applyNumberFormat="1" applyFont="1" applyFill="1" applyBorder="1" applyAlignment="1">
      <x:alignment wrapText="1"/>
    </x:xf>
    <x:xf numFmtId="0" fontId="6" fillId="7" borderId="19" xfId="0" applyNumberFormat="1" applyFont="1" applyFill="1" applyBorder="1" applyAlignment="1">
      <x:alignment wrapText="1"/>
    </x:xf>
    <x:xf numFmtId="0" fontId="6" fillId="7" borderId="20" xfId="0" applyNumberFormat="1" applyFont="1" applyFill="1" applyBorder="1" applyAlignment="1">
      <x:alignment wrapText="1"/>
    </x:xf>
    <x:xf numFmtId="0" fontId="6" fillId="7" borderId="18" xfId="0" applyNumberFormat="1" applyFont="1" applyFill="1" applyBorder="1" applyAlignment="1">
      <x:alignment horizontal="center" wrapText="1"/>
    </x:xf>
    <x:xf numFmtId="0" fontId="6" fillId="7" borderId="19" xfId="0" applyNumberFormat="1" applyFont="1" applyFill="1" applyBorder="1" applyAlignment="1">
      <x:alignment horizontal="center" wrapText="1"/>
    </x:xf>
    <x:xf numFmtId="0" fontId="6" fillId="7" borderId="20" xfId="0" applyNumberFormat="1" applyFont="1" applyFill="1" applyBorder="1" applyAlignment="1">
      <x:alignment horizontal="center" wrapText="1"/>
    </x:xf>
    <x:xf numFmtId="0" fontId="6" fillId="7" borderId="18" xfId="0" applyNumberFormat="1" applyFont="1" applyFill="1" applyBorder="1" applyAlignment="1">
      <x:alignment horizontal="center" vertical="center" wrapText="1"/>
    </x:xf>
    <x:xf numFmtId="0" fontId="6" fillId="7" borderId="19" xfId="0" applyNumberFormat="1" applyFont="1" applyFill="1" applyBorder="1" applyAlignment="1">
      <x:alignment horizontal="center" vertical="center" wrapText="1"/>
    </x:xf>
    <x:xf numFmtId="0" fontId="6" fillId="7" borderId="2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21" xfId="0" applyNumberFormat="1" applyFont="1" applyFill="1" applyBorder="1"/>
    <x:xf numFmtId="0" fontId="6" fillId="7" borderId="22" xfId="0" applyNumberFormat="1" applyFont="1" applyFill="1" applyBorder="1"/>
    <x:xf numFmtId="0" fontId="6" fillId="7" borderId="23" xfId="0" applyNumberFormat="1" applyFont="1" applyFill="1" applyBorder="1"/>
    <x:xf numFmtId="0" fontId="6" fillId="7" borderId="21" xfId="0" applyNumberFormat="1" applyFont="1" applyFill="1" applyBorder="1" applyAlignment="1">
      <x:alignment wrapText="1"/>
    </x:xf>
    <x:xf numFmtId="0" fontId="6" fillId="7" borderId="22" xfId="0" applyNumberFormat="1" applyFont="1" applyFill="1" applyBorder="1" applyAlignment="1">
      <x:alignment wrapText="1"/>
    </x:xf>
    <x:xf numFmtId="0" fontId="6" fillId="7" borderId="23" xfId="0" applyNumberFormat="1" applyFont="1" applyFill="1" applyBorder="1" applyAlignment="1">
      <x:alignment wrapText="1"/>
    </x:xf>
    <x:xf numFmtId="0" fontId="6" fillId="7" borderId="21" xfId="0" applyNumberFormat="1" applyFont="1" applyFill="1" applyBorder="1" applyAlignment="1">
      <x:alignment horizontal="center" wrapText="1"/>
    </x:xf>
    <x:xf numFmtId="0" fontId="6" fillId="7" borderId="22" xfId="0" applyNumberFormat="1" applyFont="1" applyFill="1" applyBorder="1" applyAlignment="1">
      <x:alignment horizontal="center" wrapText="1"/>
    </x:xf>
    <x:xf numFmtId="0" fontId="6" fillId="7" borderId="23" xfId="0" applyNumberFormat="1" applyFont="1" applyFill="1" applyBorder="1" applyAlignment="1">
      <x:alignment horizontal="center" wrapText="1"/>
    </x:xf>
    <x:xf numFmtId="0" fontId="6" fillId="7" borderId="21" xfId="0" applyNumberFormat="1" applyFont="1" applyFill="1" applyBorder="1" applyAlignment="1">
      <x:alignment horizontal="center" vertical="center" wrapText="1"/>
    </x:xf>
    <x:xf numFmtId="0" fontId="6" fillId="7" borderId="22" xfId="0" applyNumberFormat="1" applyFont="1" applyFill="1" applyBorder="1" applyAlignment="1">
      <x:alignment horizontal="center" vertical="center" wrapText="1"/>
    </x:xf>
    <x:xf numFmtId="0" fontId="6" fillId="7" borderId="23" xfId="0" applyNumberFormat="1" applyFont="1" applyFill="1" applyBorder="1" applyAlignment="1">
      <x:alignment horizontal="center" vertical="center" wrapText="1"/>
    </x:xf>
    <x:xf numFmtId="0" fontId="0" fillId="8" borderId="3" xfId="0" applyNumberFormat="1" applyFont="1" applyFill="1" applyBorder="1"/>
    <x:xf numFmtId="0" fontId="0" fillId="8" borderId="0" xfId="0" applyNumberFormat="1" applyFont="1" applyFill="1" applyBorder="1"/>
    <x:xf numFmtId="0" fontId="0" fillId="8" borderId="8" xfId="0" applyNumberFormat="1" applyFont="1" applyFill="1" applyBorder="1"/>
    <x:xf numFmtId="0" fontId="0" fillId="8" borderId="11" xfId="0" applyNumberFormat="1" applyFont="1" applyFill="1" applyBorder="1"/>
    <x:xf numFmtId="0" fontId="0" fillId="8" borderId="1" xfId="0" applyNumberFormat="1" applyFont="1" applyFill="1" applyBorder="1"/>
    <x:xf numFmtId="0" fontId="0" fillId="8" borderId="16" xfId="0" applyNumberFormat="1" applyFont="1" applyFill="1" applyBorder="1"/>
    <x:xf numFmtId="0" fontId="0" fillId="8" borderId="3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8" xfId="0" applyNumberFormat="1" applyFont="1" applyFill="1" applyBorder="1" applyAlignment="1">
      <x:alignment wrapText="1"/>
    </x:xf>
    <x:xf numFmtId="0" fontId="0" fillId="8" borderId="1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0" fillId="8" borderId="16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2" xfId="0" applyNumberFormat="1" applyFont="1" applyFill="1" applyBorder="1"/>
    <x:xf numFmtId="0" fontId="4" fillId="9" borderId="3" xfId="0" applyNumberFormat="1" applyFont="1" applyFill="1" applyBorder="1"/>
    <x:xf numFmtId="0" fontId="4" fillId="9" borderId="4" xfId="0" applyNumberFormat="1" applyFont="1" applyFill="1" applyBorder="1"/>
    <x:xf numFmtId="0" fontId="4" fillId="9" borderId="7" xfId="0" applyNumberFormat="1" applyFont="1" applyFill="1" applyBorder="1"/>
    <x:xf numFmtId="0" fontId="4" fillId="9" borderId="8" xfId="0" applyNumberFormat="1" applyFont="1" applyFill="1" applyBorder="1"/>
    <x:xf numFmtId="0" fontId="4" fillId="9" borderId="9" xfId="0" applyNumberFormat="1" applyFont="1" applyFill="1" applyBorder="1"/>
    <x:xf numFmtId="0" fontId="4" fillId="9" borderId="2" xfId="0" applyNumberFormat="1" applyFont="1" applyFill="1" applyBorder="1" applyAlignment="1">
      <x:alignment wrapText="1"/>
    </x:xf>
    <x:xf numFmtId="0" fontId="4" fillId="9" borderId="3" xfId="0" applyNumberFormat="1" applyFont="1" applyFill="1" applyBorder="1" applyAlignment="1">
      <x:alignment wrapText="1"/>
    </x:xf>
    <x:xf numFmtId="0" fontId="4" fillId="9" borderId="4" xfId="0" applyNumberFormat="1" applyFont="1" applyFill="1" applyBorder="1" applyAlignment="1">
      <x:alignment wrapText="1"/>
    </x:xf>
    <x:xf numFmtId="0" fontId="4" fillId="9" borderId="7" xfId="0" applyNumberFormat="1" applyFont="1" applyFill="1" applyBorder="1" applyAlignment="1">
      <x:alignment wrapText="1"/>
    </x:xf>
    <x:xf numFmtId="0" fontId="4" fillId="9" borderId="8" xfId="0" applyNumberFormat="1" applyFont="1" applyFill="1" applyBorder="1" applyAlignment="1">
      <x:alignment wrapText="1"/>
    </x:xf>
    <x:xf numFmtId="0" fontId="4" fillId="9" borderId="9" xfId="0" applyNumberFormat="1" applyFont="1" applyFill="1" applyBorder="1" applyAlignment="1">
      <x:alignment wrapText="1"/>
    </x:xf>
    <x:xf numFmtId="0" fontId="4" fillId="9" borderId="2" xfId="0" applyNumberFormat="1" applyFont="1" applyFill="1" applyBorder="1" applyAlignment="1">
      <x:alignment horizontal="center" wrapText="1"/>
    </x:xf>
    <x:xf numFmtId="0" fontId="4" fillId="9" borderId="3" xfId="0" applyNumberFormat="1" applyFont="1" applyFill="1" applyBorder="1" applyAlignment="1">
      <x:alignment horizontal="center" wrapText="1"/>
    </x:xf>
    <x:xf numFmtId="0" fontId="4" fillId="9" borderId="4" xfId="0" applyNumberFormat="1" applyFont="1" applyFill="1" applyBorder="1" applyAlignment="1">
      <x:alignment horizontal="center" wrapText="1"/>
    </x:xf>
    <x:xf numFmtId="0" fontId="4" fillId="9" borderId="7" xfId="0" applyNumberFormat="1" applyFont="1" applyFill="1" applyBorder="1" applyAlignment="1">
      <x:alignment horizontal="center" wrapText="1"/>
    </x:xf>
    <x:xf numFmtId="0" fontId="4" fillId="9" borderId="8" xfId="0" applyNumberFormat="1" applyFont="1" applyFill="1" applyBorder="1" applyAlignment="1">
      <x:alignment horizontal="center" wrapText="1"/>
    </x:xf>
    <x:xf numFmtId="0" fontId="4" fillId="9" borderId="9" xfId="0" applyNumberFormat="1" applyFont="1" applyFill="1" applyBorder="1" applyAlignment="1">
      <x:alignment horizontal="center" wrapText="1"/>
    </x:xf>
    <x:xf numFmtId="0" fontId="4" fillId="9" borderId="2" xfId="0" applyNumberFormat="1" applyFont="1" applyFill="1" applyBorder="1" applyAlignment="1">
      <x:alignment horizontal="center" vertical="center" wrapText="1"/>
    </x:xf>
    <x:xf numFmtId="0" fontId="4" fillId="9" borderId="3" xfId="0" applyNumberFormat="1" applyFont="1" applyFill="1" applyBorder="1" applyAlignment="1">
      <x:alignment horizontal="center" vertical="center" wrapText="1"/>
    </x:xf>
    <x:xf numFmtId="0" fontId="4" fillId="9" borderId="4" xfId="0" applyNumberFormat="1" applyFont="1" applyFill="1" applyBorder="1" applyAlignment="1">
      <x:alignment horizontal="center" vertical="center" wrapText="1"/>
    </x:xf>
    <x:xf numFmtId="0" fontId="4" fillId="9" borderId="7" xfId="0" applyNumberFormat="1" applyFont="1" applyFill="1" applyBorder="1" applyAlignment="1">
      <x:alignment horizontal="center" vertical="center" wrapText="1"/>
    </x:xf>
    <x:xf numFmtId="0" fontId="4" fillId="9" borderId="8" xfId="0" applyNumberFormat="1" applyFont="1" applyFill="1" applyBorder="1" applyAlignment="1">
      <x:alignment horizontal="center" vertical="center" wrapText="1"/>
    </x:xf>
    <x:xf numFmtId="0" fontId="4" fillId="9" borderId="9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4" fillId="9" borderId="1" xfId="0" applyNumberFormat="1" applyFont="1" applyFill="1" applyBorder="1"/>
    <x:xf numFmtId="0" fontId="4" fillId="9" borderId="10" xfId="0" applyNumberFormat="1" applyFont="1" applyFill="1" applyBorder="1"/>
    <x:xf numFmtId="0" fontId="4" fillId="9" borderId="11" xfId="0" applyNumberFormat="1" applyFont="1" applyFill="1" applyBorder="1"/>
    <x:xf numFmtId="0" fontId="4" fillId="9" borderId="12" xfId="0" applyNumberFormat="1" applyFont="1" applyFill="1" applyBorder="1"/>
    <x:xf numFmtId="0" fontId="4" fillId="9" borderId="15" xfId="0" applyNumberFormat="1" applyFont="1" applyFill="1" applyBorder="1"/>
    <x:xf numFmtId="0" fontId="4" fillId="9" borderId="16" xfId="0" applyNumberFormat="1" applyFont="1" applyFill="1" applyBorder="1"/>
    <x:xf numFmtId="0" fontId="4" fillId="9" borderId="17" xfId="0" applyNumberFormat="1" applyFont="1" applyFill="1" applyBorder="1"/>
    <x:xf numFmtId="0" fontId="4" fillId="9" borderId="10" xfId="0" applyNumberFormat="1" applyFont="1" applyFill="1" applyBorder="1" applyAlignment="1">
      <x:alignment wrapText="1"/>
    </x:xf>
    <x:xf numFmtId="0" fontId="4" fillId="9" borderId="11" xfId="0" applyNumberFormat="1" applyFont="1" applyFill="1" applyBorder="1" applyAlignment="1">
      <x:alignment wrapText="1"/>
    </x:xf>
    <x:xf numFmtId="0" fontId="4" fillId="9" borderId="12" xfId="0" applyNumberFormat="1" applyFont="1" applyFill="1" applyBorder="1" applyAlignment="1">
      <x:alignment wrapText="1"/>
    </x:xf>
    <x:xf numFmtId="0" fontId="4" fillId="9" borderId="15" xfId="0" applyNumberFormat="1" applyFont="1" applyFill="1" applyBorder="1" applyAlignment="1">
      <x:alignment wrapText="1"/>
    </x:xf>
    <x:xf numFmtId="0" fontId="4" fillId="9" borderId="16" xfId="0" applyNumberFormat="1" applyFont="1" applyFill="1" applyBorder="1" applyAlignment="1">
      <x:alignment wrapText="1"/>
    </x:xf>
    <x:xf numFmtId="0" fontId="4" fillId="9" borderId="17" xfId="0" applyNumberFormat="1" applyFont="1" applyFill="1" applyBorder="1" applyAlignment="1">
      <x:alignment wrapText="1"/>
    </x:xf>
    <x:xf numFmtId="0" fontId="4" fillId="9" borderId="10" xfId="0" applyNumberFormat="1" applyFont="1" applyFill="1" applyBorder="1" applyAlignment="1">
      <x:alignment horizontal="center" wrapText="1"/>
    </x:xf>
    <x:xf numFmtId="0" fontId="4" fillId="9" borderId="11" xfId="0" applyNumberFormat="1" applyFont="1" applyFill="1" applyBorder="1" applyAlignment="1">
      <x:alignment horizontal="center" wrapText="1"/>
    </x:xf>
    <x:xf numFmtId="0" fontId="4" fillId="9" borderId="12" xfId="0" applyNumberFormat="1" applyFont="1" applyFill="1" applyBorder="1" applyAlignment="1">
      <x:alignment horizontal="center" wrapText="1"/>
    </x:xf>
    <x:xf numFmtId="0" fontId="4" fillId="9" borderId="15" xfId="0" applyNumberFormat="1" applyFont="1" applyFill="1" applyBorder="1" applyAlignment="1">
      <x:alignment horizontal="center" wrapText="1"/>
    </x:xf>
    <x:xf numFmtId="0" fontId="4" fillId="9" borderId="16" xfId="0" applyNumberFormat="1" applyFont="1" applyFill="1" applyBorder="1" applyAlignment="1">
      <x:alignment horizontal="center" wrapText="1"/>
    </x:xf>
    <x:xf numFmtId="0" fontId="4" fillId="9" borderId="17" xfId="0" applyNumberFormat="1" applyFont="1" applyFill="1" applyBorder="1" applyAlignment="1">
      <x:alignment horizontal="center" wrapText="1"/>
    </x:xf>
    <x:xf numFmtId="0" fontId="4" fillId="9" borderId="10" xfId="0" applyNumberFormat="1" applyFont="1" applyFill="1" applyBorder="1" applyAlignment="1">
      <x:alignment horizontal="center" vertical="center" wrapText="1"/>
    </x:xf>
    <x:xf numFmtId="0" fontId="4" fillId="9" borderId="11" xfId="0" applyNumberFormat="1" applyFont="1" applyFill="1" applyBorder="1" applyAlignment="1">
      <x:alignment horizontal="center" vertical="center" wrapText="1"/>
    </x:xf>
    <x:xf numFmtId="0" fontId="4" fillId="9" borderId="12" xfId="0" applyNumberFormat="1" applyFont="1" applyFill="1" applyBorder="1" applyAlignment="1">
      <x:alignment horizontal="center" vertical="center" wrapText="1"/>
    </x:xf>
    <x:xf numFmtId="0" fontId="4" fillId="9" borderId="15" xfId="0" applyNumberFormat="1" applyFont="1" applyFill="1" applyBorder="1" applyAlignment="1">
      <x:alignment horizontal="center" vertical="center" wrapText="1"/>
    </x:xf>
    <x:xf numFmtId="0" fontId="4" fillId="9" borderId="16" xfId="0" applyNumberFormat="1" applyFont="1" applyFill="1" applyBorder="1" applyAlignment="1">
      <x:alignment horizontal="center" vertical="center" wrapText="1"/>
    </x:xf>
    <x:xf numFmtId="0" fontId="4" fillId="9" borderId="17" xfId="0" applyNumberFormat="1" applyFont="1" applyFill="1" applyBorder="1" applyAlignment="1">
      <x:alignment horizontal="center" vertical="center" wrapText="1"/>
    </x:xf>
    <x:xf numFmtId="0" fontId="0" fillId="10" borderId="2" xfId="0" applyNumberFormat="1" applyFont="1" applyFill="1" applyBorder="1"/>
    <x:xf numFmtId="0" fontId="0" fillId="10" borderId="3" xfId="0" applyNumberFormat="1" applyFont="1" applyFill="1" applyBorder="1"/>
    <x:xf numFmtId="0" fontId="0" fillId="10" borderId="4" xfId="0" applyNumberFormat="1" applyFont="1" applyFill="1" applyBorder="1"/>
    <x:xf numFmtId="0" fontId="2" fillId="10" borderId="2" xfId="0" applyNumberFormat="1" applyFont="1" applyFill="1" applyBorder="1"/>
    <x:xf numFmtId="0" fontId="2" fillId="10" borderId="3" xfId="0" applyNumberFormat="1" applyFont="1" applyFill="1" applyBorder="1"/>
    <x:xf numFmtId="0" fontId="2" fillId="10" borderId="4" xfId="0" applyNumberFormat="1" applyFont="1" applyFill="1" applyBorder="1"/>
    <x:xf numFmtId="0" fontId="2" fillId="10" borderId="18" xfId="0" applyNumberFormat="1" applyFont="1" applyFill="1" applyBorder="1"/>
    <x:xf numFmtId="0" fontId="2" fillId="10" borderId="19" xfId="0" applyNumberFormat="1" applyFont="1" applyFill="1" applyBorder="1"/>
    <x:xf numFmtId="0" fontId="2" fillId="10" borderId="20" xfId="0" applyNumberFormat="1" applyFont="1" applyFill="1" applyBorder="1"/>
    <x:xf numFmtId="0" fontId="2" fillId="10" borderId="18" xfId="0" applyNumberFormat="1" applyFont="1" applyFill="1" applyBorder="1" applyAlignment="1">
      <x:alignment wrapText="1"/>
    </x:xf>
    <x:xf numFmtId="0" fontId="2" fillId="10" borderId="19" xfId="0" applyNumberFormat="1" applyFont="1" applyFill="1" applyBorder="1" applyAlignment="1">
      <x:alignment wrapText="1"/>
    </x:xf>
    <x:xf numFmtId="0" fontId="2" fillId="10" borderId="20" xfId="0" applyNumberFormat="1" applyFont="1" applyFill="1" applyBorder="1" applyAlignment="1">
      <x:alignment wrapText="1"/>
    </x:xf>
    <x:xf numFmtId="0" fontId="2" fillId="10" borderId="18" xfId="0" applyNumberFormat="1" applyFont="1" applyFill="1" applyBorder="1" applyAlignment="1">
      <x:alignment horizontal="center" wrapText="1"/>
    </x:xf>
    <x:xf numFmtId="0" fontId="2" fillId="10" borderId="19" xfId="0" applyNumberFormat="1" applyFont="1" applyFill="1" applyBorder="1" applyAlignment="1">
      <x:alignment horizontal="center" wrapText="1"/>
    </x:xf>
    <x:xf numFmtId="0" fontId="2" fillId="10" borderId="20" xfId="0" applyNumberFormat="1" applyFont="1" applyFill="1" applyBorder="1" applyAlignment="1">
      <x:alignment horizontal="center" wrapText="1"/>
    </x:xf>
    <x:xf numFmtId="0" fontId="2" fillId="10" borderId="18" xfId="0" applyNumberFormat="1" applyFont="1" applyFill="1" applyBorder="1" applyAlignment="1">
      <x:alignment horizontal="center" vertical="center" wrapText="1"/>
    </x:xf>
    <x:xf numFmtId="0" fontId="2" fillId="10" borderId="19" xfId="0" applyNumberFormat="1" applyFont="1" applyFill="1" applyBorder="1" applyAlignment="1">
      <x:alignment horizontal="center" vertical="center" wrapText="1"/>
    </x:xf>
    <x:xf numFmtId="0" fontId="2" fillId="10" borderId="2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wrapText="1"/>
    </x:xf>
    <x:xf numFmtId="0" fontId="4" fillId="11" borderId="0" xfId="0" applyNumberFormat="1" applyFont="1" applyFill="1" applyBorder="1" applyAlignment="1">
      <x:alignment horizontal="center" wrapText="1"/>
    </x:xf>
    <x:xf numFmtId="0" fontId="4" fillId="11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7" fillId="12" borderId="0" xfId="0" applyNumberFormat="1" applyFont="1" applyFill="1" applyBorder="1" applyAlignment="1">
      <x:alignment wrapText="1"/>
    </x:xf>
    <x:xf numFmtId="0" fontId="7" fillId="12" borderId="0" xfId="0" applyNumberFormat="1" applyFont="1" applyFill="1" applyBorder="1" applyAlignment="1">
      <x:alignment horizontal="center" wrapText="1"/>
    </x:xf>
    <x:xf numFmtId="0" fontId="7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8" fillId="13" borderId="0" xfId="0" applyNumberFormat="1" applyFont="1" applyFill="1" applyBorder="1"/>
    <x:xf numFmtId="0" fontId="8" fillId="13" borderId="18" xfId="0" applyNumberFormat="1" applyFont="1" applyFill="1" applyBorder="1"/>
    <x:xf numFmtId="0" fontId="8" fillId="13" borderId="19" xfId="0" applyNumberFormat="1" applyFont="1" applyFill="1" applyBorder="1"/>
    <x:xf numFmtId="0" fontId="8" fillId="13" borderId="20" xfId="0" applyNumberFormat="1" applyFont="1" applyFill="1" applyBorder="1"/>
    <x:xf numFmtId="0" fontId="8" fillId="13" borderId="18" xfId="0" applyNumberFormat="1" applyFont="1" applyFill="1" applyBorder="1" applyAlignment="1">
      <x:alignment wrapText="1"/>
    </x:xf>
    <x:xf numFmtId="0" fontId="8" fillId="13" borderId="19" xfId="0" applyNumberFormat="1" applyFont="1" applyFill="1" applyBorder="1" applyAlignment="1">
      <x:alignment wrapText="1"/>
    </x:xf>
    <x:xf numFmtId="0" fontId="8" fillId="13" borderId="20" xfId="0" applyNumberFormat="1" applyFont="1" applyFill="1" applyBorder="1" applyAlignment="1">
      <x:alignment wrapText="1"/>
    </x:xf>
    <x:xf numFmtId="0" fontId="8" fillId="13" borderId="18" xfId="0" applyNumberFormat="1" applyFont="1" applyFill="1" applyBorder="1" applyAlignment="1">
      <x:alignment horizontal="center" wrapText="1"/>
    </x:xf>
    <x:xf numFmtId="0" fontId="8" fillId="13" borderId="19" xfId="0" applyNumberFormat="1" applyFont="1" applyFill="1" applyBorder="1" applyAlignment="1">
      <x:alignment horizontal="center" wrapText="1"/>
    </x:xf>
    <x:xf numFmtId="0" fontId="8" fillId="13" borderId="20" xfId="0" applyNumberFormat="1" applyFont="1" applyFill="1" applyBorder="1" applyAlignment="1">
      <x:alignment horizontal="center" wrapText="1"/>
    </x:xf>
    <x:xf numFmtId="0" fontId="8" fillId="13" borderId="18" xfId="0" applyNumberFormat="1" applyFont="1" applyFill="1" applyBorder="1" applyAlignment="1">
      <x:alignment horizontal="center" vertical="center" wrapText="1"/>
    </x:xf>
    <x:xf numFmtId="0" fontId="8" fillId="13" borderId="19" xfId="0" applyNumberFormat="1" applyFont="1" applyFill="1" applyBorder="1" applyAlignment="1">
      <x:alignment horizontal="center" vertical="center" wrapText="1"/>
    </x:xf>
    <x:xf numFmtId="0" fontId="8" fillId="13" borderId="20" xfId="0" applyNumberFormat="1" applyFont="1" applyFill="1" applyBorder="1" applyAlignment="1">
      <x:alignment horizontal="center" vertical="center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xfId="0" applyNumberFormat="1" applyFont="1" applyFill="1" applyBorder="0" applyAlignment="1">
      <x:alignment wrapText="1"/>
    </x:xf>
    <x:xf numFmtId="0" fontId="0" fillId="14" borderId="0" xfId="0" applyNumberFormat="1" applyFont="1" applyFill="1" applyBorder="1"/>
    <x:xf numFmtId="0" fontId="8" fillId="14" borderId="0" xfId="0" applyNumberFormat="1" applyFont="1" applyFill="1" applyBorder="1"/>
    <x:xf numFmtId="0" fontId="8" fillId="14" borderId="18" xfId="0" applyNumberFormat="1" applyFont="1" applyFill="1" applyBorder="1"/>
    <x:xf numFmtId="0" fontId="8" fillId="14" borderId="19" xfId="0" applyNumberFormat="1" applyFont="1" applyFill="1" applyBorder="1"/>
    <x:xf numFmtId="0" fontId="8" fillId="14" borderId="20" xfId="0" applyNumberFormat="1" applyFont="1" applyFill="1" applyBorder="1"/>
    <x:xf numFmtId="0" fontId="8" fillId="14" borderId="18" xfId="0" applyNumberFormat="1" applyFont="1" applyFill="1" applyBorder="1" applyAlignment="1">
      <x:alignment wrapText="1"/>
    </x:xf>
    <x:xf numFmtId="0" fontId="8" fillId="14" borderId="19" xfId="0" applyNumberFormat="1" applyFont="1" applyFill="1" applyBorder="1" applyAlignment="1">
      <x:alignment wrapText="1"/>
    </x:xf>
    <x:xf numFmtId="0" fontId="8" fillId="14" borderId="20" xfId="0" applyNumberFormat="1" applyFont="1" applyFill="1" applyBorder="1" applyAlignment="1">
      <x:alignment wrapText="1"/>
    </x:xf>
    <x:xf numFmtId="0" fontId="8" fillId="14" borderId="18" xfId="0" applyNumberFormat="1" applyFont="1" applyFill="1" applyBorder="1" applyAlignment="1">
      <x:alignment horizontal="center" wrapText="1"/>
    </x:xf>
    <x:xf numFmtId="0" fontId="8" fillId="14" borderId="19" xfId="0" applyNumberFormat="1" applyFont="1" applyFill="1" applyBorder="1" applyAlignment="1">
      <x:alignment horizontal="center" wrapText="1"/>
    </x:xf>
    <x:xf numFmtId="0" fontId="8" fillId="14" borderId="20" xfId="0" applyNumberFormat="1" applyFont="1" applyFill="1" applyBorder="1" applyAlignment="1">
      <x:alignment horizontal="center" wrapText="1"/>
    </x:xf>
    <x:xf numFmtId="0" fontId="8" fillId="14" borderId="18" xfId="0" applyNumberFormat="1" applyFont="1" applyFill="1" applyBorder="1" applyAlignment="1">
      <x:alignment horizontal="center" vertical="center" wrapText="1"/>
    </x:xf>
    <x:xf numFmtId="0" fontId="8" fillId="14" borderId="19" xfId="0" applyNumberFormat="1" applyFont="1" applyFill="1" applyBorder="1" applyAlignment="1">
      <x:alignment horizontal="center" vertical="center" wrapText="1"/>
    </x:xf>
    <x:xf numFmtId="0" fontId="8" fillId="14" borderId="2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2" xfId="0" applyNumberFormat="1" applyFont="1" applyFill="1" applyBorder="1"/>
    <x:xf numFmtId="0" fontId="3" fillId="15" borderId="3" xfId="0" applyNumberFormat="1" applyFont="1" applyFill="1" applyBorder="1"/>
    <x:xf numFmtId="0" fontId="3" fillId="15" borderId="4" xfId="0" applyNumberFormat="1" applyFont="1" applyFill="1" applyBorder="1"/>
    <x:xf numFmtId="0" fontId="3" fillId="15" borderId="5" xfId="0" applyNumberFormat="1" applyFont="1" applyFill="1" applyBorder="1"/>
    <x:xf numFmtId="0" fontId="3" fillId="15" xfId="0" applyNumberFormat="1" applyFont="1" applyFill="1" applyBorder="0"/>
    <x:xf numFmtId="0" fontId="3" fillId="15" borderId="6" xfId="0" applyNumberFormat="1" applyFont="1" applyFill="1" applyBorder="1"/>
    <x:xf numFmtId="0" fontId="3" fillId="15" borderId="7" xfId="0" applyNumberFormat="1" applyFont="1" applyFill="1" applyBorder="1"/>
    <x:xf numFmtId="0" fontId="3" fillId="15" borderId="8" xfId="0" applyNumberFormat="1" applyFont="1" applyFill="1" applyBorder="1"/>
    <x:xf numFmtId="0" fontId="3" fillId="15" borderId="9" xfId="0" applyNumberFormat="1" applyFont="1" applyFill="1" applyBorder="1"/>
    <x:xf numFmtId="0" fontId="3" fillId="15" borderId="2" xfId="0" applyNumberFormat="1" applyFont="1" applyFill="1" applyBorder="1" applyAlignment="1">
      <x:alignment wrapText="1"/>
    </x:xf>
    <x:xf numFmtId="0" fontId="3" fillId="15" borderId="3" xfId="0" applyNumberFormat="1" applyFont="1" applyFill="1" applyBorder="1" applyAlignment="1">
      <x:alignment wrapText="1"/>
    </x:xf>
    <x:xf numFmtId="0" fontId="3" fillId="15" borderId="4" xfId="0" applyNumberFormat="1" applyFont="1" applyFill="1" applyBorder="1" applyAlignment="1">
      <x:alignment wrapText="1"/>
    </x:xf>
    <x:xf numFmtId="0" fontId="3" fillId="15" borderId="5" xfId="0" applyNumberFormat="1" applyFont="1" applyFill="1" applyBorder="1" applyAlignment="1">
      <x:alignment wrapText="1"/>
    </x:xf>
    <x:xf numFmtId="0" fontId="3" fillId="15" xfId="0" applyNumberFormat="1" applyFont="1" applyFill="1" applyBorder="0" applyAlignment="1">
      <x:alignment wrapText="1"/>
    </x:xf>
    <x:xf numFmtId="0" fontId="3" fillId="15" borderId="6" xfId="0" applyNumberFormat="1" applyFont="1" applyFill="1" applyBorder="1" applyAlignment="1">
      <x:alignment wrapText="1"/>
    </x:xf>
    <x:xf numFmtId="0" fontId="3" fillId="15" borderId="7" xfId="0" applyNumberFormat="1" applyFont="1" applyFill="1" applyBorder="1" applyAlignment="1">
      <x:alignment wrapText="1"/>
    </x:xf>
    <x:xf numFmtId="0" fontId="3" fillId="15" borderId="8" xfId="0" applyNumberFormat="1" applyFont="1" applyFill="1" applyBorder="1" applyAlignment="1">
      <x:alignment wrapText="1"/>
    </x:xf>
    <x:xf numFmtId="0" fontId="3" fillId="15" borderId="9" xfId="0" applyNumberFormat="1" applyFont="1" applyFill="1" applyBorder="1" applyAlignment="1">
      <x:alignment wrapText="1"/>
    </x:xf>
    <x:xf numFmtId="0" fontId="0" fillId="16" borderId="2" xfId="0" applyNumberFormat="1" applyFont="1" applyFill="1" applyBorder="1"/>
    <x:xf numFmtId="0" fontId="0" fillId="16" borderId="3" xfId="0" applyNumberFormat="1" applyFont="1" applyFill="1" applyBorder="1"/>
    <x:xf numFmtId="0" fontId="0" fillId="16" borderId="4" xfId="0" applyNumberFormat="1" applyFont="1" applyFill="1" applyBorder="1"/>
    <x:xf numFmtId="0" fontId="9" fillId="16" borderId="2" xfId="0" applyNumberFormat="1" applyFont="1" applyFill="1" applyBorder="1"/>
    <x:xf numFmtId="0" fontId="9" fillId="16" borderId="3" xfId="0" applyNumberFormat="1" applyFont="1" applyFill="1" applyBorder="1"/>
    <x:xf numFmtId="0" fontId="9" fillId="16" borderId="4" xfId="0" applyNumberFormat="1" applyFont="1" applyFill="1" applyBorder="1"/>
    <x:xf numFmtId="0" fontId="9" fillId="16" borderId="18" xfId="0" applyNumberFormat="1" applyFont="1" applyFill="1" applyBorder="1"/>
    <x:xf numFmtId="0" fontId="9" fillId="16" borderId="19" xfId="0" applyNumberFormat="1" applyFont="1" applyFill="1" applyBorder="1"/>
    <x:xf numFmtId="0" fontId="9" fillId="16" borderId="20" xfId="0" applyNumberFormat="1" applyFont="1" applyFill="1" applyBorder="1"/>
    <x:xf numFmtId="0" fontId="9" fillId="16" borderId="18" xfId="0" applyNumberFormat="1" applyFont="1" applyFill="1" applyBorder="1" applyAlignment="1">
      <x:alignment horizontal="center"/>
    </x:xf>
    <x:xf numFmtId="0" fontId="9" fillId="16" borderId="19" xfId="0" applyNumberFormat="1" applyFont="1" applyFill="1" applyBorder="1" applyAlignment="1">
      <x:alignment horizontal="center"/>
    </x:xf>
    <x:xf numFmtId="0" fontId="9" fillId="16" borderId="20" xfId="0" applyNumberFormat="1" applyFont="1" applyFill="1" applyBorder="1" applyAlignment="1">
      <x:alignment horizontal="center"/>
    </x:xf>
    <x:xf numFmtId="0" fontId="9" fillId="16" borderId="18" xfId="0" applyNumberFormat="1" applyFont="1" applyFill="1" applyBorder="1" applyAlignment="1">
      <x:alignment horizontal="center" vertical="center"/>
    </x:xf>
    <x:xf numFmtId="0" fontId="9" fillId="16" borderId="19" xfId="0" applyNumberFormat="1" applyFont="1" applyFill="1" applyBorder="1" applyAlignment="1">
      <x:alignment horizontal="center" vertical="center"/>
    </x:xf>
    <x:xf numFmtId="0" fontId="9" fillId="16" borderId="20" xfId="0" applyNumberFormat="1" applyFont="1" applyFill="1" applyBorder="1" applyAlignment="1">
      <x:alignment horizontal="center" vertical="center"/>
    </x:xf>
    <x:xf numFmtId="0" fontId="9" fillId="16" borderId="18" xfId="0" applyNumberFormat="1" applyFont="1" applyFill="1" applyBorder="1" applyAlignment="1">
      <x:alignment horizontal="center" vertical="center" wrapText="1"/>
    </x:xf>
    <x:xf numFmtId="0" fontId="9" fillId="16" borderId="19" xfId="0" applyNumberFormat="1" applyFont="1" applyFill="1" applyBorder="1" applyAlignment="1">
      <x:alignment horizontal="center" vertical="center" wrapText="1"/>
    </x:xf>
    <x:xf numFmtId="0" fontId="9" fillId="16" borderId="20" xfId="0" applyNumberFormat="1" applyFont="1" applyFill="1" applyBorder="1" applyAlignment="1">
      <x:alignment horizontal="center" vertical="center" wrapText="1"/>
    </x:xf>
    <x:xf numFmtId="0" fontId="0" fillId="17" borderId="2" xfId="0" applyNumberFormat="1" applyFont="1" applyFill="1" applyBorder="1"/>
    <x:xf numFmtId="0" fontId="0" fillId="17" borderId="3" xfId="0" applyNumberFormat="1" applyFont="1" applyFill="1" applyBorder="1"/>
    <x:xf numFmtId="0" fontId="0" fillId="17" borderId="4" xfId="0" applyNumberFormat="1" applyFont="1" applyFill="1" applyBorder="1"/>
    <x:xf numFmtId="0" fontId="8" fillId="17" borderId="2" xfId="0" applyNumberFormat="1" applyFont="1" applyFill="1" applyBorder="1"/>
    <x:xf numFmtId="0" fontId="8" fillId="17" borderId="3" xfId="0" applyNumberFormat="1" applyFont="1" applyFill="1" applyBorder="1"/>
    <x:xf numFmtId="0" fontId="8" fillId="17" borderId="4" xfId="0" applyNumberFormat="1" applyFont="1" applyFill="1" applyBorder="1"/>
    <x:xf numFmtId="0" fontId="8" fillId="17" borderId="18" xfId="0" applyNumberFormat="1" applyFont="1" applyFill="1" applyBorder="1"/>
    <x:xf numFmtId="0" fontId="8" fillId="17" borderId="19" xfId="0" applyNumberFormat="1" applyFont="1" applyFill="1" applyBorder="1"/>
    <x:xf numFmtId="0" fontId="8" fillId="17" borderId="20" xfId="0" applyNumberFormat="1" applyFont="1" applyFill="1" applyBorder="1"/>
    <x:xf numFmtId="0" fontId="8" fillId="17" borderId="18" xfId="0" applyNumberFormat="1" applyFont="1" applyFill="1" applyBorder="1" applyAlignment="1">
      <x:alignment horizontal="center"/>
    </x:xf>
    <x:xf numFmtId="0" fontId="8" fillId="17" borderId="19" xfId="0" applyNumberFormat="1" applyFont="1" applyFill="1" applyBorder="1" applyAlignment="1">
      <x:alignment horizontal="center"/>
    </x:xf>
    <x:xf numFmtId="0" fontId="8" fillId="17" borderId="20" xfId="0" applyNumberFormat="1" applyFont="1" applyFill="1" applyBorder="1" applyAlignment="1">
      <x:alignment horizontal="center"/>
    </x:xf>
    <x:xf numFmtId="0" fontId="8" fillId="17" borderId="18" xfId="0" applyNumberFormat="1" applyFont="1" applyFill="1" applyBorder="1" applyAlignment="1">
      <x:alignment horizontal="center" vertical="center"/>
    </x:xf>
    <x:xf numFmtId="0" fontId="8" fillId="17" borderId="19" xfId="0" applyNumberFormat="1" applyFont="1" applyFill="1" applyBorder="1" applyAlignment="1">
      <x:alignment horizontal="center" vertical="center"/>
    </x:xf>
    <x:xf numFmtId="0" fontId="8" fillId="17" borderId="2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afadd683d44e3f" /><Relationship Type="http://schemas.openxmlformats.org/officeDocument/2006/relationships/theme" Target="/xl/theme/theme1.xml" Id="R86a6a7ee34b94a86" /><Relationship Type="http://schemas.openxmlformats.org/officeDocument/2006/relationships/sharedStrings" Target="/xl/sharedStrings.xml" Id="R61146d9614a94c7a" /><Relationship Type="http://schemas.openxmlformats.org/officeDocument/2006/relationships/worksheet" Target="/xl/worksheets/sheet1.xml" Id="Rc5129b79e897414e" /><Relationship Type="http://schemas.openxmlformats.org/officeDocument/2006/relationships/worksheet" Target="/xl/worksheets/sheet2.xml" Id="R3e6ed1d6a0aa4373" /><Relationship Type="http://schemas.openxmlformats.org/officeDocument/2006/relationships/worksheet" Target="/xl/worksheets/sheet3.xml" Id="R2318bb21b0d84e9b" /><Relationship Type="http://schemas.openxmlformats.org/officeDocument/2006/relationships/worksheet" Target="/xl/worksheets/sheet4.xml" Id="Rf8d62699689a4e47" /><Relationship Type="http://schemas.openxmlformats.org/officeDocument/2006/relationships/worksheet" Target="/xl/worksheets/sheet5.xml" Id="R8ea7bd91d69d408d" /><Relationship Type="http://schemas.openxmlformats.org/officeDocument/2006/relationships/worksheet" Target="/xl/worksheets/sheet6.xml" Id="R8824010fd6e345ee" /><Relationship Type="http://schemas.openxmlformats.org/officeDocument/2006/relationships/worksheet" Target="/xl/worksheets/sheet7.xml" Id="R2ae797a8aaf04893" /><Relationship Type="http://schemas.openxmlformats.org/officeDocument/2006/relationships/worksheet" Target="/xl/worksheets/sheet8.xml" Id="Rde5cccfa4bd54370" /><Relationship Type="http://schemas.openxmlformats.org/officeDocument/2006/relationships/worksheet" Target="/xl/worksheets/sheet9.xml" Id="Ra2ac7038fd084fa4" /><Relationship Type="http://schemas.openxmlformats.org/officeDocument/2006/relationships/worksheet" Target="/xl/worksheets/sheet10.xml" Id="R96ebc2438d0c416f" /><Relationship Type="http://schemas.openxmlformats.org/officeDocument/2006/relationships/worksheet" Target="/xl/worksheets/sheet11.xml" Id="Rdc3da876e6f3463e" /><Relationship Type="http://schemas.openxmlformats.org/officeDocument/2006/relationships/worksheet" Target="/xl/worksheets/sheet12.xml" Id="R7b794f3c770c443c" /><Relationship Type="http://schemas.openxmlformats.org/officeDocument/2006/relationships/worksheet" Target="/xl/worksheets/sheet13.xml" Id="R3aba63ddbab1498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f1c7a13ad96405d" /><Relationship Type="http://schemas.openxmlformats.org/officeDocument/2006/relationships/chart" Target="/xl/drawings/charts/chart1.xml" Id="R13752122ffa74d4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9e528d7dd8b14a95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cc251778c24b4efc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0948191c2779481c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0aac094250df44e9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6.png" Id="R0589cba6a4374496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7.png" Id="R03ef7809320f4f55" /><Relationship Type="http://schemas.openxmlformats.org/officeDocument/2006/relationships/chart" Target="/xl/drawings/charts/chart2.xml" Id="R8e38bdd5bb7a46ff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8.png" Id="R2bdfee5f754e4024" /><Relationship Type="http://schemas.openxmlformats.org/officeDocument/2006/relationships/image" Target="/xl/media/image9.png" Id="R083775ab1e004d4d" /><Relationship Type="http://schemas.openxmlformats.org/officeDocument/2006/relationships/image" Target="/xl/media/image10.png" Id="Re1640557af524e3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Oven vs core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'Summary_R2'!$J$8:$J$14</c:f>
              <c:strCache>
                <c:ptCount val="0"/>
              </c:strCache>
            </c:strRef>
          </c:cat>
          <c:val>
            <c:numRef>
              <c:f>'Summary_R2'!$K$8:$K$14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sales vs cost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₩/ea</c:v>
          </c:tx>
          <c:marker>
            <c:symbol val="none"/>
          </c:marker>
          <c:cat>
            <c:strRef>
              <c:f>'판매옵션_럼토핑'!$F$8:$F$13</c:f>
              <c:strCache>
                <c:ptCount val="0"/>
              </c:strCache>
            </c:strRef>
          </c:cat>
          <c:val>
            <c:numRef>
              <c:f>'판매옵션_럼토핑'!$G$8:$G$13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₩/ea</c:v>
          </c:tx>
          <c:marker>
            <c:symbol val="none"/>
          </c:marker>
          <c:cat>
            <c:strRef>
              <c:f>'판매옵션_럼토핑'!$F$8:$F$13</c:f>
              <c:strCache>
                <c:ptCount val="0"/>
              </c:strCache>
            </c:strRef>
          </c:cat>
          <c:val>
            <c:numRef>
              <c:f>'판매옵션_럼토핑'!$H$8:$H$13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%</c:v>
          </c:tx>
          <c:marker>
            <c:symbol val="none"/>
          </c:marker>
          <c:cat>
            <c:strRef>
              <c:f>'판매옵션_럼토핑'!$F$8:$F$13</c:f>
              <c:strCache>
                <c:ptCount val="0"/>
              </c:strCache>
            </c:strRef>
          </c:cat>
          <c:val>
            <c:numRef>
              <c:f>'판매옵션_럼토핑'!$I$8:$I$13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%</c:v>
          </c:tx>
          <c:marker>
            <c:symbol val="none"/>
          </c:marker>
          <c:cat>
            <c:strRef>
              <c:f>'판매옵션_럼토핑'!$F$8:$F$13</c:f>
              <c:strCache>
                <c:ptCount val="0"/>
              </c:strCache>
            </c:strRef>
          </c:cat>
          <c:val>
            <c:numRef>
              <c:f>'판매옵션_럼토핑'!$J$8:$J$13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15</xdr:row>
      <xdr:rowOff>0</xdr:rowOff>
    </xdr:from>
    <xdr:to>
      <xdr:col>11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752122ffa74d48"/>
        </a:graphicData>
      </a:graphic>
    </xdr:graphicFrame>
    <xdr:clientData/>
  </xdr:twoCellAnchor>
  <xdr:oneCellAnchor>
    <xdr:from>
      <xdr:col>17</xdr:col>
      <xdr:colOff>0</xdr:colOff>
      <xdr:row>5</xdr:row>
      <xdr:rowOff>0</xdr:rowOff>
    </xdr:from>
    <xdr:ext cx="2857500" cy="1333500"/>
    <xdr:pic>
      <xdr:nvPicPr>
        <xdr:cNvPr id="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1c7a13ad9640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13</xdr:col>
      <xdr:colOff>0</xdr:colOff>
      <xdr:row>12</xdr:row>
      <xdr:rowOff>0</xdr:rowOff>
    </xdr:from>
    <xdr:ext cx="2381250" cy="114300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528d7dd8b14a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20</xdr:col>
      <xdr:colOff>0</xdr:colOff>
      <xdr:row>26</xdr:row>
      <xdr:rowOff>0</xdr:rowOff>
    </xdr:from>
    <xdr:ext cx="2286000" cy="1047750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251778c24b4e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20</xdr:col>
      <xdr:colOff>0</xdr:colOff>
      <xdr:row>26</xdr:row>
      <xdr:rowOff>0</xdr:rowOff>
    </xdr:from>
    <xdr:ext cx="2286000" cy="104775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48191c277948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20</xdr:col>
      <xdr:colOff>0</xdr:colOff>
      <xdr:row>26</xdr:row>
      <xdr:rowOff>0</xdr:rowOff>
    </xdr:from>
    <xdr:ext cx="2286000" cy="1047750"/>
    <xdr:pic>
      <xdr:nvPicPr>
        <xdr:cNvPr id="1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ac094250df44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20</xdr:col>
      <xdr:colOff>0</xdr:colOff>
      <xdr:row>26</xdr:row>
      <xdr:rowOff>0</xdr:rowOff>
    </xdr:from>
    <xdr:ext cx="2286000" cy="1047750"/>
    <xdr:pic>
      <xdr:nvPicPr>
        <xdr:cNvPr id="1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89cba6a43744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twoCellAnchor>
    <xdr:from>
      <xdr:col>5</xdr:col>
      <xdr:colOff>0</xdr:colOff>
      <xdr:row>15</xdr:row>
      <xdr:rowOff>0</xdr:rowOff>
    </xdr:from>
    <xdr:to>
      <xdr:col>14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38bdd5bb7a46ff"/>
        </a:graphicData>
      </a:graphic>
    </xdr:graphicFrame>
    <xdr:clientData/>
  </xdr:twoCellAnchor>
  <xdr:oneCellAnchor>
    <xdr:from>
      <xdr:col>17</xdr:col>
      <xdr:colOff>0</xdr:colOff>
      <xdr:row>5</xdr:row>
      <xdr:rowOff>0</xdr:rowOff>
    </xdr:from>
    <xdr:ext cx="2381250" cy="1095375"/>
    <xdr:pic>
      <xdr:nvPicPr>
        <xdr:cNvPr id="2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ef7809320f4f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8.xml><?xml version="1.0" encoding="utf-8"?>
<xdr:wsDr xmlns:xdr="http://schemas.openxmlformats.org/drawingml/2006/spreadsheetDrawing">
  <xdr:oneCellAnchor>
    <xdr:from>
      <xdr:col>9</xdr:col>
      <xdr:colOff>0</xdr:colOff>
      <xdr:row>6</xdr:row>
      <xdr:rowOff>0</xdr:rowOff>
    </xdr:from>
    <xdr:ext cx="2762250" cy="2095500"/>
    <xdr:pic>
      <xdr:nvPicPr>
        <xdr:cNvPr id="1" name="f34c88bd-01ae-4aaf-9716-9dcb4d31fa5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dfee5f754e40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6</xdr:row>
      <xdr:rowOff>0</xdr:rowOff>
    </xdr:from>
    <xdr:ext cx="2762250" cy="2095500"/>
    <xdr:pic>
      <xdr:nvPicPr>
        <xdr:cNvPr id="2" name="413a9d91-37f1-4582-bdb4-7b8f12498d8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3775ab1e004d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19</xdr:row>
      <xdr:rowOff>0</xdr:rowOff>
    </xdr:from>
    <xdr:ext cx="2762250" cy="2095500"/>
    <xdr:pic>
      <xdr:nvPicPr>
        <xdr:cNvPr id="3" name="e4466dd8-b006-40a0-b54e-2b03e8a70b9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640557af524e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a15e17c12cd4d5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c10ad5b0ab7848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dc1f64df16ba48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7e78ef1c272f4eb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5.xml" Id="R320b0ff59c62448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6.xml" Id="R043e3a079e3349f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7.xml" Id="R01268577867b4bd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8.xml" Id="Rb1f22f9023934a78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3">
      <x:c r="D3" s="6" t="str">
        <x:v>오리지날 휘낭시에 — 실험 종합 / Original FINANCIER</x:v>
      </x:c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</x:row>
    <x:row r="4"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</x:row>
    <x:row r="6">
      <x:c r="D6" s="29" t="str">
        <x:v>Recipe</x:v>
      </x:c>
      <x:c r="E6" s="30" t="str">
        <x:v>오리지날</x:v>
      </x:c>
      <x:c r="F6" s="30" t="str">
        <x:v>ver.</x:v>
      </x:c>
      <x:c r="G6" s="30" t="str">
        <x:v>rev.C</x:v>
      </x:c>
      <x:c r="H6" s="31"/>
    </x:row>
    <x:row r="7">
      <x:c r="D7" s="32" t="str">
        <x:v>실험기간</x:v>
      </x:c>
      <x:c r="E7" s="33" t="str">
        <x:v>2026-08~09</x:v>
      </x:c>
      <x:c r="F7" s="33" t="str">
        <x:v>n</x:v>
      </x:c>
      <x:c r="G7" s="33" t="str">
        <x:v>3</x:v>
      </x:c>
      <x:c r="H7" s="34"/>
      <x:c r="J7" s="58" t="str">
        <x:v>Oven</x:v>
      </x:c>
      <x:c r="K7" s="59" t="str">
        <x:v>core max</x:v>
      </x:c>
      <x:c r="L7" s="59" t="str">
        <x:v>rise</x:v>
      </x:c>
      <x:c r="M7" s="59" t="str">
        <x:v>crack%</x:v>
      </x:c>
      <x:c r="N7" s="59" t="str">
        <x:v>cost/ea</x:v>
      </x:c>
      <x:c r="O7" s="60" t="str">
        <x:v>note</x:v>
      </x:c>
    </x:row>
    <x:row r="8">
      <x:c r="D8" s="32" t="str">
        <x:v>주요변수</x:v>
      </x:c>
      <x:c r="E8" s="33" t="str">
        <x:v>oven/temp/add-in</x:v>
      </x:c>
      <x:c r="F8" s="33" t="str">
        <x:v>판정</x:v>
      </x:c>
      <x:c r="G8" s="33" t="str">
        <x:v>core temp + rise</x:v>
      </x:c>
      <x:c r="H8" s="34"/>
      <x:c r="J8" s="12" t="n">
        <x:v>180</x:v>
      </x:c>
      <x:c r="K8" s="13" t="n">
        <x:v>92.9</x:v>
      </x:c>
      <x:c r="L8" s="13" t="n">
        <x:v>10.2</x:v>
      </x:c>
      <x:c r="M8" s="13" t="n">
        <x:v>2</x:v>
      </x:c>
      <x:c r="N8" s="13" t="n">
        <x:v>456.5</x:v>
      </x:c>
      <x:c r="O8" s="14" t="str">
        <x:v>pale</x:v>
      </x:c>
    </x:row>
    <x:row r="9">
      <x:c r="D9" s="32" t="str">
        <x:v>기록상태</x:v>
      </x:c>
      <x:c r="E9" s="33" t="str">
        <x:v>수기+사진+수식</x:v>
      </x:c>
      <x:c r="F9" s="33" t="str">
        <x:v>memo</x:v>
      </x:c>
      <x:c r="G9" s="33" t="str">
        <x:v>영/한/기호 혼용</x:v>
      </x:c>
      <x:c r="H9" s="34"/>
      <x:c r="J9" s="15" t="n">
        <x:v>185</x:v>
      </x:c>
      <x:c r="K9" s="16" t="n">
        <x:v>93.5</x:v>
      </x:c>
      <x:c r="L9" s="16" t="n">
        <x:v>10.2</x:v>
      </x:c>
      <x:c r="M9" s="16" t="n">
        <x:v>2</x:v>
      </x:c>
      <x:c r="N9" s="16" t="n">
        <x:v>459</x:v>
      </x:c>
      <x:c r="O9" s="17" t="str">
        <x:v>pale</x:v>
      </x:c>
    </x:row>
    <x:row r="10">
      <x:c r="D10" s="32" t="str">
        <x:v>중요</x:v>
      </x:c>
      <x:c r="E10" s="33" t="str">
        <x:v>색상도 의미 있음</x:v>
      </x:c>
      <x:c r="F10" s="33" t="str">
        <x:v>주의</x:v>
      </x:c>
      <x:c r="G10" s="33" t="str">
        <x:v>일부 셀은 계산값</x:v>
      </x:c>
      <x:c r="H10" s="34"/>
      <x:c r="J10" s="15" t="n">
        <x:v>190</x:v>
      </x:c>
      <x:c r="K10" s="16" t="n">
        <x:v>94.4</x:v>
      </x:c>
      <x:c r="L10" s="16" t="n">
        <x:v>11.5</x:v>
      </x:c>
      <x:c r="M10" s="16" t="n">
        <x:v>4.8</x:v>
      </x:c>
      <x:c r="N10" s="16" t="n">
        <x:v>461.5</x:v>
      </x:c>
      <x:c r="O10" s="17" t="str">
        <x:v>best</x:v>
      </x:c>
    </x:row>
    <x:row r="11">
      <x:c r="D11" s="35" t="str">
        <x:v>파일 메모</x:v>
      </x:c>
      <x:c r="E11" s="36" t="str">
        <x:v>형식 통일 안 함</x:v>
      </x:c>
      <x:c r="F11" s="36" t="str">
        <x:v>owner</x:v>
      </x:c>
      <x:c r="G11" s="36" t="str">
        <x:v>미기입</x:v>
      </x:c>
      <x:c r="H11" s="37"/>
      <x:c r="J11" s="15" t="n">
        <x:v>195</x:v>
      </x:c>
      <x:c r="K11" s="16" t="n">
        <x:v>95.5</x:v>
      </x:c>
      <x:c r="L11" s="16" t="n">
        <x:v>12.3</x:v>
      </x:c>
      <x:c r="M11" s="16" t="n">
        <x:v>10.3</x:v>
      </x:c>
      <x:c r="N11" s="16" t="n">
        <x:v>464</x:v>
      </x:c>
      <x:c r="O11" s="17" t="str">
        <x:v>best</x:v>
      </x:c>
    </x:row>
    <x:row r="12">
      <x:c r="J12" s="15" t="n">
        <x:v>200</x:v>
      </x:c>
      <x:c r="K12" s="16" t="n">
        <x:v>96.5</x:v>
      </x:c>
      <x:c r="L12" s="16" t="n">
        <x:v>13.2</x:v>
      </x:c>
      <x:c r="M12" s="16" t="n">
        <x:v>14.4</x:v>
      </x:c>
      <x:c r="N12" s="16" t="n">
        <x:v>466.5</x:v>
      </x:c>
      <x:c r="O12" s="17" t="str">
        <x:v>pale</x:v>
      </x:c>
    </x:row>
    <x:row r="13">
      <x:c r="J13" s="15" t="n">
        <x:v>205</x:v>
      </x:c>
      <x:c r="K13" s="16" t="n">
        <x:v>97.8</x:v>
      </x:c>
      <x:c r="L13" s="16" t="n">
        <x:v>13.7</x:v>
      </x:c>
      <x:c r="M13" s="16" t="n">
        <x:v>15.8</x:v>
      </x:c>
      <x:c r="N13" s="16" t="n">
        <x:v>469</x:v>
      </x:c>
      <x:c r="O13" s="17" t="str">
        <x:v>dark↑</x:v>
      </x:c>
    </x:row>
    <x:row r="14">
      <x:c r="J14" s="18" t="n">
        <x:v>210</x:v>
      </x:c>
      <x:c r="K14" s="19" t="n">
        <x:v>98.5</x:v>
      </x:c>
      <x:c r="L14" s="19" t="n">
        <x:v>13.9</x:v>
      </x:c>
      <x:c r="M14" s="19" t="n">
        <x:v>19.4</x:v>
      </x:c>
      <x:c r="N14" s="19" t="n">
        <x:v>471.5</x:v>
      </x:c>
      <x:c r="O14" s="20" t="str">
        <x:v>dark↑</x:v>
      </x:c>
    </x:row>
    <x:row r="18">
      <x:c r="M18" s="85" t="str">
        <x:v>메모 / sticky note
• oven 실제편차 ±3℃ 추정
• 일부 사진은 다른 batch reference
• '부풀기' 측정 기준이 사람마다 약간 다름
• 색 진함/굵은 글씨 = 중요 표시</x:v>
      </x:c>
      <x:c r="N18" s="86"/>
      <x:c r="O18" s="86"/>
      <x:c r="P18" s="87"/>
    </x:row>
    <x:row r="19">
      <x:c r="M19" s="88"/>
      <x:c r="N19" s="89"/>
      <x:c r="O19" s="89"/>
      <x:c r="P19" s="90"/>
    </x:row>
    <x:row r="20">
      <x:c r="M20" s="88"/>
      <x:c r="N20" s="89"/>
      <x:c r="O20" s="89"/>
      <x:c r="P20" s="90"/>
    </x:row>
    <x:row r="21">
      <x:c r="M21" s="88"/>
      <x:c r="N21" s="89"/>
      <x:c r="O21" s="89"/>
      <x:c r="P21" s="90"/>
    </x:row>
    <x:row r="22">
      <x:c r="M22" s="88"/>
      <x:c r="N22" s="89"/>
      <x:c r="O22" s="89"/>
      <x:c r="P22" s="90"/>
    </x:row>
    <x:row r="23">
      <x:c r="M23" s="91"/>
      <x:c r="N23" s="92"/>
      <x:c r="O23" s="92"/>
      <x:c r="P23" s="93"/>
    </x:row>
  </x:sheetData>
  <x:mergeCells>
    <x:mergeCell ref="D3:P4"/>
    <x:mergeCell ref="M18:P23"/>
  </x:mergeCells>
  <x:pageMargins left="0.7" right="0.7" top="0.75" bottom="0.75" header="0.3" footer="0.3"/>
  <x:drawing xmlns:r="http://schemas.openxmlformats.org/officeDocument/2006/relationships" r:id="R2a15e17c12cd4d5e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2">
      <x:c r="C2" s="116" t="str">
        <x:v>오리지날 재료/원가 기록  COST??</x:v>
      </x:c>
      <x:c r="D2" s="116"/>
      <x:c r="E2" s="116"/>
      <x:c r="F2" s="116"/>
      <x:c r="G2" s="116"/>
      <x:c r="H2" s="116"/>
      <x:c r="I2" s="116"/>
      <x:c r="J2" s="116"/>
      <x:c r="K2" s="116"/>
    </x:row>
    <x:row r="3">
      <x:c r="C3" s="116"/>
      <x:c r="D3" s="116"/>
      <x:c r="E3" s="116"/>
      <x:c r="F3" s="116"/>
      <x:c r="G3" s="116"/>
      <x:c r="H3" s="116"/>
      <x:c r="I3" s="116"/>
      <x:c r="J3" s="116"/>
      <x:c r="K3" s="116"/>
    </x:row>
    <x:row r="4">
      <x:c r="C4" s="132" t="str">
        <x:v>재료</x:v>
      </x:c>
      <x:c r="D4" s="133" t="str">
        <x:v>Ingredient</x:v>
      </x:c>
      <x:c r="E4" s="133" t="str">
        <x:v>사용량</x:v>
      </x:c>
      <x:c r="F4" s="133" t="str">
        <x:v>UOM</x:v>
      </x:c>
      <x:c r="G4" s="133" t="str">
        <x:v>구매단가</x:v>
      </x:c>
      <x:c r="H4" s="133" t="str">
        <x:v>원가</x:v>
      </x:c>
      <x:c r="I4" s="133" t="str">
        <x:v>원가비중</x:v>
      </x:c>
      <x:c r="J4" s="133" t="str">
        <x:v>vendor</x:v>
      </x:c>
      <x:c r="K4" s="134" t="str">
        <x:v>memo</x:v>
      </x:c>
    </x:row>
    <x:row r="5">
      <x:c r="C5" s="12" t="str">
        <x:v>무염버터</x:v>
      </x:c>
      <x:c r="D5" s="13" t="str">
        <x:v>Unsalted butter</x:v>
      </x:c>
      <x:c r="E5" s="13" t="n">
        <x:v>120</x:v>
      </x:c>
      <x:c r="F5" s="13" t="str">
        <x:v>g</x:v>
      </x:c>
      <x:c r="G5" s="13" t="n">
        <x:v>12.8</x:v>
      </x:c>
      <x:c r="H5" s="13" t="n">
        <x:v>1536</x:v>
      </x:c>
      <x:c r="I5" s="13" t="n">
        <x:f>ROUND(H5/SUM($H$5:$H$12)*100,2)</x:f>
        <x:v>28.99</x:v>
      </x:c>
      <x:c r="J5" s="13" t="str">
        <x:v>미기입</x:v>
      </x:c>
      <x:c r="K5" s="14" t="str">
        <x:v>냉장</x:v>
      </x:c>
    </x:row>
    <x:row r="6">
      <x:c r="C6" s="15" t="str">
        <x:v>아몬드파우더</x:v>
      </x:c>
      <x:c r="D6" s="16" t="str">
        <x:v>Almond powder</x:v>
      </x:c>
      <x:c r="E6" s="16" t="n">
        <x:v>95</x:v>
      </x:c>
      <x:c r="F6" s="16" t="str">
        <x:v>g</x:v>
      </x:c>
      <x:c r="G6" s="16" t="n">
        <x:v>18.5</x:v>
      </x:c>
      <x:c r="H6" s="75" t="n">
        <x:v>1757.5</x:v>
      </x:c>
      <x:c r="I6" s="75" t="n">
        <x:f>ROUND(H6/SUM($H$5:$H$12)*100,2)</x:f>
        <x:v>33.17</x:v>
      </x:c>
      <x:c r="J6" s="16" t="str">
        <x:v>A푸드</x:v>
      </x:c>
      <x:c r="K6" s="17" t="str">
        <x:v>LOT주의</x:v>
      </x:c>
    </x:row>
    <x:row r="7">
      <x:c r="C7" s="15" t="str">
        <x:v>박력분</x:v>
      </x:c>
      <x:c r="D7" s="16" t="str">
        <x:v>Cake flour</x:v>
      </x:c>
      <x:c r="E7" s="16" t="n">
        <x:v>0.035</x:v>
      </x:c>
      <x:c r="F7" s="16" t="str">
        <x:v>kg</x:v>
      </x:c>
      <x:c r="G7" s="16" t="n">
        <x:v>2500</x:v>
      </x:c>
      <x:c r="H7" s="75" t="n">
        <x:v>87.5</x:v>
      </x:c>
      <x:c r="I7" s="75" t="n">
        <x:f>ROUND(H7/SUM($H$5:$H$12)*100,2)</x:f>
        <x:v>1.65</x:v>
      </x:c>
      <x:c r="J7" s="16" t="str">
        <x:v>ImportHub</x:v>
      </x:c>
      <x:c r="K7" s="17" t="str">
        <x:v>냉장</x:v>
      </x:c>
    </x:row>
    <x:row r="8">
      <x:c r="C8" s="15" t="str">
        <x:v>슈가파우더</x:v>
      </x:c>
      <x:c r="D8" s="16" t="str">
        <x:v>Powdered sugar</x:v>
      </x:c>
      <x:c r="E8" s="16" t="n">
        <x:v>110</x:v>
      </x:c>
      <x:c r="F8" s="16" t="str">
        <x:v>g</x:v>
      </x:c>
      <x:c r="G8" s="16" t="n">
        <x:v>4.8</x:v>
      </x:c>
      <x:c r="H8" s="75" t="n">
        <x:v>528</x:v>
      </x:c>
      <x:c r="I8" s="75" t="n">
        <x:f>ROUND(H8/SUM($H$5:$H$12)*100,2)</x:f>
        <x:v>9.97</x:v>
      </x:c>
      <x:c r="J8" s="16" t="str">
        <x:v>ImportHub</x:v>
      </x:c>
      <x:c r="K8" s="17" t="str">
        <x:v>spec?</x:v>
      </x:c>
    </x:row>
    <x:row r="9">
      <x:c r="C9" s="15" t="str">
        <x:v>꿀</x:v>
      </x:c>
      <x:c r="D9" s="149" t="str">
        <x:v>Honey</x:v>
      </x:c>
      <x:c r="E9" s="16" t="n">
        <x:v>18</x:v>
      </x:c>
      <x:c r="F9" s="16" t="str">
        <x:v>g</x:v>
      </x:c>
      <x:c r="G9" s="16" t="n">
        <x:v>14</x:v>
      </x:c>
      <x:c r="H9" s="16" t="n">
        <x:v>252</x:v>
      </x:c>
      <x:c r="I9" s="16" t="n">
        <x:f>ROUND(H9/SUM($H$5:$H$12)*100,2)</x:f>
        <x:v>4.76</x:v>
      </x:c>
      <x:c r="J9" s="16" t="str">
        <x:v>local</x:v>
      </x:c>
      <x:c r="K9" s="17" t="str"/>
    </x:row>
    <x:row r="10">
      <x:c r="C10" s="15" t="str">
        <x:v>계란흰자</x:v>
      </x:c>
      <x:c r="D10" s="149" t="str">
        <x:v>Egg white</x:v>
      </x:c>
      <x:c r="E10" s="16" t="n">
        <x:v>130</x:v>
      </x:c>
      <x:c r="F10" s="16" t="str">
        <x:v>g</x:v>
      </x:c>
      <x:c r="G10" s="16" t="n">
        <x:v>5.5</x:v>
      </x:c>
      <x:c r="H10" s="16" t="n">
        <x:v>715</x:v>
      </x:c>
      <x:c r="I10" s="16" t="n">
        <x:f>ROUND(H10/SUM($H$5:$H$12)*100,2)</x:f>
        <x:v>13.5</x:v>
      </x:c>
      <x:c r="J10" s="16" t="str">
        <x:v>local</x:v>
      </x:c>
      <x:c r="K10" s="17" t="str">
        <x:v>가격변동</x:v>
      </x:c>
    </x:row>
    <x:row r="11">
      <x:c r="C11" s="15" t="str">
        <x:v>소금</x:v>
      </x:c>
      <x:c r="D11" s="16" t="str">
        <x:v>Salt</x:v>
      </x:c>
      <x:c r="E11" s="16" t="n">
        <x:v>1.5</x:v>
      </x:c>
      <x:c r="F11" s="16" t="str">
        <x:v>g</x:v>
      </x:c>
      <x:c r="G11" s="16" t="n">
        <x:v>1.1</x:v>
      </x:c>
      <x:c r="H11" s="16" t="n">
        <x:v>1.7</x:v>
      </x:c>
      <x:c r="I11" s="16" t="n">
        <x:f>ROUND(H11/SUM($H$5:$H$12)*100,2)</x:f>
        <x:v>0.03</x:v>
      </x:c>
      <x:c r="J11" s="16" t="str">
        <x:v>MKT-ING</x:v>
      </x:c>
      <x:c r="K11" s="17" t="str">
        <x:v>가격변동</x:v>
      </x:c>
    </x:row>
    <x:row r="12">
      <x:c r="C12" s="18" t="str">
        <x:v>바닐라빈</x:v>
      </x:c>
      <x:c r="D12" s="19" t="str">
        <x:v>Vanilla bean</x:v>
      </x:c>
      <x:c r="E12" s="19" t="n">
        <x:v>1</x:v>
      </x:c>
      <x:c r="F12" s="19" t="str">
        <x:v>ea</x:v>
      </x:c>
      <x:c r="G12" s="19" t="n">
        <x:v>420</x:v>
      </x:c>
      <x:c r="H12" s="19" t="n">
        <x:v>420</x:v>
      </x:c>
      <x:c r="I12" s="19" t="n">
        <x:f>ROUND(H12/SUM($H$5:$H$12)*100,2)</x:f>
        <x:v>7.93</x:v>
      </x:c>
      <x:c r="J12" s="19" t="str">
        <x:v>A푸드</x:v>
      </x:c>
      <x:c r="K12" s="20" t="str">
        <x:v>LOT주의</x:v>
      </x:c>
    </x:row>
    <x:row r="15">
      <x:c r="H15" s="12" t="str">
        <x:v>Batch total</x:v>
      </x:c>
      <x:c r="I15" s="14" t="n">
        <x:f>SUM(H5:H12)</x:f>
        <x:v>5297.7</x:v>
      </x:c>
    </x:row>
    <x:row r="16">
      <x:c r="H16" s="15" t="str">
        <x:v>ea cost /12</x:v>
      </x:c>
      <x:c r="I16" s="17" t="n">
        <x:f>ROUND((I15+I17)/12,1)</x:f>
        <x:v>456.5</x:v>
      </x:c>
    </x:row>
    <x:row r="17">
      <x:c r="H17" s="15" t="str">
        <x:v>package</x:v>
      </x:c>
      <x:c r="I17" s="17" t="n">
        <x:v>180</x:v>
      </x:c>
    </x:row>
    <x:row r="18">
      <x:c r="H18" s="18" t="str">
        <x:v>판매가 rough</x:v>
      </x:c>
      <x:c r="I18" s="20" t="n">
        <x:f>ROUND(I16*2.6,-1)</x:f>
        <x:v>1190</x:v>
      </x:c>
    </x:row>
  </x:sheetData>
  <x:mergeCells>
    <x:mergeCell ref="C2:K3"/>
  </x:mergeCells>
  <x:pageMargins left="0.7" right="0.7" top="0.75" bottom="0.75" header="0.3" footer="0.3"/>
  <x:drawing xmlns:r="http://schemas.openxmlformats.org/officeDocument/2006/relationships" r:id="Rc10ad5b0ab7848c2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1">
      <x:c r="A1" s="33"/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33"/>
      <x:c r="B3" s="33"/>
      <x:c r="C3" s="33"/>
      <x:c r="D3" s="170" t="str">
        <x:v>오리지날  OVEN=180℃ / 실험기록</x:v>
      </x:c>
      <x:c r="E3" s="171"/>
      <x:c r="F3" s="171"/>
      <x:c r="G3" s="171"/>
      <x:c r="H3" s="171"/>
      <x:c r="I3" s="171"/>
      <x:c r="J3" s="171"/>
      <x:c r="K3" s="171"/>
      <x:c r="L3" s="171"/>
      <x:c r="M3" s="171"/>
      <x:c r="N3" s="171"/>
      <x:c r="O3" s="171"/>
      <x:c r="P3" s="172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33"/>
      <x:c r="B4" s="33"/>
      <x:c r="C4" s="33"/>
      <x:c r="D4" s="173"/>
      <x:c r="E4" s="174"/>
      <x:c r="F4" s="174"/>
      <x:c r="G4" s="174"/>
      <x:c r="H4" s="174"/>
      <x:c r="I4" s="174"/>
      <x:c r="J4" s="174"/>
      <x:c r="K4" s="174"/>
      <x:c r="L4" s="174"/>
      <x:c r="M4" s="174"/>
      <x:c r="N4" s="174"/>
      <x:c r="O4" s="174"/>
      <x:c r="P4" s="175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3"/>
      <x:c r="B6" s="33"/>
      <x:c r="C6" s="33"/>
      <x:c r="D6" s="29" t="str">
        <x:v>batch</x:v>
      </x:c>
      <x:c r="E6" s="30" t="str">
        <x:v>오-180-A</x:v>
      </x:c>
      <x:c r="F6" s="30" t="str">
        <x:v>fan</x:v>
      </x:c>
      <x:c r="G6" s="30" t="str">
        <x:v>약풍</x:v>
      </x:c>
      <x:c r="H6" s="31" t="str">
        <x:v>memo</x:v>
      </x:c>
      <x:c r="I6" s="33"/>
      <x:c r="J6" s="58" t="str">
        <x:v>Time</x:v>
      </x:c>
      <x:c r="K6" s="59" t="str">
        <x:v>Add-in</x:v>
      </x:c>
      <x:c r="L6" s="59" t="str">
        <x:v>rep</x:v>
      </x:c>
      <x:c r="M6" s="59" t="str">
        <x:v>core T</x:v>
      </x:c>
      <x:c r="N6" s="59" t="str">
        <x:v>rise</x:v>
      </x:c>
      <x:c r="O6" s="59" t="str">
        <x:v>surface</x:v>
      </x:c>
      <x:c r="P6" s="59" t="str">
        <x:v>crack</x:v>
      </x:c>
      <x:c r="Q6" s="59" t="str">
        <x:v>moist</x:v>
      </x:c>
      <x:c r="R6" s="59" t="str">
        <x:v>loss</x:v>
      </x:c>
      <x:c r="S6" s="60" t="str">
        <x:v>memo</x:v>
      </x:c>
      <x:c r="T6" s="33"/>
      <x:c r="U6" s="33"/>
      <x:c r="V6" s="33"/>
      <x:c r="W6" s="33"/>
      <x:c r="X6" s="33"/>
      <x:c r="Y6" s="33"/>
      <x:c r="Z6" s="33"/>
    </x:row>
    <x:row r="7">
      <x:c r="A7" s="33"/>
      <x:c r="B7" s="33"/>
      <x:c r="C7" s="33"/>
      <x:c r="D7" s="32" t="str">
        <x:v>실내</x:v>
      </x:c>
      <x:c r="E7" s="33" t="str">
        <x:v>24℃</x:v>
      </x:c>
      <x:c r="F7" s="33" t="str">
        <x:v>반죽숙성</x:v>
      </x:c>
      <x:c r="G7" s="33" t="str">
        <x:v>8h</x:v>
      </x:c>
      <x:c r="H7" s="34" t="str">
        <x:v>수기</x:v>
      </x:c>
      <x:c r="I7" s="33"/>
      <x:c r="J7" s="212" t="str">
        <x:v>min</x:v>
      </x:c>
      <x:c r="K7" s="213" t="str">
        <x:v>조건</x:v>
      </x:c>
      <x:c r="L7" s="213" t="str">
        <x:v>#</x:v>
      </x:c>
      <x:c r="M7" s="213" t="str">
        <x:v>℃</x:v>
      </x:c>
      <x:c r="N7" s="213" t="str">
        <x:v>mm</x:v>
      </x:c>
      <x:c r="O7" s="213" t="str">
        <x:v>visual</x:v>
      </x:c>
      <x:c r="P7" s="213" t="str">
        <x:v>Y/N</x:v>
      </x:c>
      <x:c r="Q7" s="213" t="str">
        <x:v>1~5</x:v>
      </x:c>
      <x:c r="R7" s="213" t="str">
        <x:v>%</x:v>
      </x:c>
      <x:c r="S7" s="214" t="str"/>
      <x:c r="T7" s="33"/>
      <x:c r="U7" s="33"/>
      <x:c r="V7" s="33"/>
      <x:c r="W7" s="33"/>
      <x:c r="X7" s="33"/>
      <x:c r="Y7" s="33"/>
      <x:c r="Z7" s="33"/>
    </x:row>
    <x:row r="8">
      <x:c r="A8" s="33"/>
      <x:c r="B8" s="33"/>
      <x:c r="C8" s="33"/>
      <x:c r="D8" s="32" t="str">
        <x:v>몰드</x:v>
      </x:c>
      <x:c r="E8" s="33" t="str">
        <x:v>12구</x:v>
      </x:c>
      <x:c r="F8" s="33" t="str">
        <x:v>probe</x:v>
      </x:c>
      <x:c r="G8" s="33" t="str">
        <x:v>center</x:v>
      </x:c>
      <x:c r="H8" s="34" t="str">
        <x:v>K-type</x:v>
      </x:c>
      <x:c r="I8" s="33"/>
      <x:c r="J8" s="29" t="n">
        <x:v>0</x:v>
      </x:c>
      <x:c r="K8" s="30" t="str">
        <x:v>기본</x:v>
      </x:c>
      <x:c r="L8" s="30" t="n">
        <x:v>1</x:v>
      </x:c>
      <x:c r="M8" s="235" t="n">
        <x:v>25.2</x:v>
      </x:c>
      <x:c r="N8" s="235" t="n">
        <x:v>1.3</x:v>
      </x:c>
      <x:c r="O8" s="30" t="str">
        <x:v>pale</x:v>
      </x:c>
      <x:c r="P8" s="30" t="str">
        <x:v>Y</x:v>
      </x:c>
      <x:c r="Q8" s="30" t="n">
        <x:v>4.8</x:v>
      </x:c>
      <x:c r="R8" s="30" t="n">
        <x:v>0</x:v>
      </x:c>
      <x:c r="S8" s="31" t="str">
        <x:v>edge↑</x:v>
      </x:c>
      <x:c r="T8" s="33"/>
      <x:c r="U8" s="33"/>
      <x:c r="V8" s="33"/>
      <x:c r="W8" s="33"/>
      <x:c r="X8" s="33"/>
      <x:c r="Y8" s="33"/>
      <x:c r="Z8" s="33"/>
    </x:row>
    <x:row r="9">
      <x:c r="A9" s="33"/>
      <x:c r="B9" s="33"/>
      <x:c r="C9" s="33"/>
      <x:c r="D9" s="32" t="str">
        <x:v>note</x:v>
      </x:c>
      <x:c r="E9" s="33" t="str">
        <x:v>같은 시간 여러 부재료는 merge</x:v>
      </x:c>
      <x:c r="F9" s="33" t="str"/>
      <x:c r="G9" s="33" t="str"/>
      <x:c r="H9" s="34" t="str"/>
      <x:c r="I9" s="33"/>
      <x:c r="J9" s="32" t="n">
        <x:v>0</x:v>
      </x:c>
      <x:c r="K9" s="33" t="str">
        <x:v>기본</x:v>
      </x:c>
      <x:c r="L9" s="33" t="n">
        <x:v>2</x:v>
      </x:c>
      <x:c r="M9" s="236" t="n">
        <x:v>25.1</x:v>
      </x:c>
      <x:c r="N9" s="236" t="n">
        <x:v>1.5</x:v>
      </x:c>
      <x:c r="O9" s="33" t="str">
        <x:v>pale</x:v>
      </x:c>
      <x:c r="P9" s="33" t="str">
        <x:v>N</x:v>
      </x:c>
      <x:c r="Q9" s="33" t="n">
        <x:v>3</x:v>
      </x:c>
      <x:c r="R9" s="33" t="n">
        <x:v>0.4</x:v>
      </x:c>
      <x:c r="S9" s="34" t="str">
        <x:v>dome good</x:v>
      </x:c>
      <x:c r="T9" s="33"/>
      <x:c r="U9" s="33"/>
      <x:c r="V9" s="33"/>
      <x:c r="W9" s="33"/>
      <x:c r="X9" s="33"/>
      <x:c r="Y9" s="33"/>
      <x:c r="Z9" s="33"/>
    </x:row>
    <x:row r="10">
      <x:c r="A10" s="33"/>
      <x:c r="B10" s="33"/>
      <x:c r="C10" s="33"/>
      <x:c r="D10" s="35" t="str">
        <x:v>operator</x:v>
      </x:c>
      <x:c r="E10" s="36" t="str">
        <x:v>KIM</x:v>
      </x:c>
      <x:c r="F10" s="36" t="str">
        <x:v>n</x:v>
      </x:c>
      <x:c r="G10" s="36" t="str">
        <x:v>2</x:v>
      </x:c>
      <x:c r="H10" s="37" t="str"/>
      <x:c r="I10" s="33"/>
      <x:c r="J10" s="32" t="n">
        <x:v>0</x:v>
      </x:c>
      <x:c r="K10" s="33" t="str">
        <x:v>럼</x:v>
      </x:c>
      <x:c r="L10" s="33" t="n">
        <x:v>1</x:v>
      </x:c>
      <x:c r="M10" s="236" t="n">
        <x:v>26.5</x:v>
      </x:c>
      <x:c r="N10" s="236" t="n">
        <x:v>2.1</x:v>
      </x:c>
      <x:c r="O10" s="33" t="str">
        <x:v>pale</x:v>
      </x:c>
      <x:c r="P10" s="33" t="str">
        <x:v>N</x:v>
      </x:c>
      <x:c r="Q10" s="33" t="n">
        <x:v>3.4</x:v>
      </x:c>
      <x:c r="R10" s="33" t="n">
        <x:v>0</x:v>
      </x:c>
      <x:c r="S10" s="34" t="str">
        <x:v>-</x:v>
      </x:c>
      <x:c r="T10" s="33"/>
      <x:c r="U10" s="33"/>
      <x:c r="V10" s="33"/>
      <x:c r="W10" s="33"/>
      <x:c r="X10" s="33"/>
      <x:c r="Y10" s="33"/>
      <x:c r="Z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2" t="n">
        <x:v>0</x:v>
      </x:c>
      <x:c r="K11" s="33" t="str">
        <x:v>럼</x:v>
      </x:c>
      <x:c r="L11" s="33" t="n">
        <x:v>2</x:v>
      </x:c>
      <x:c r="M11" s="236" t="n">
        <x:v>25.4</x:v>
      </x:c>
      <x:c r="N11" s="236" t="n">
        <x:v>1.7</x:v>
      </x:c>
      <x:c r="O11" s="33" t="str">
        <x:v>gold</x:v>
      </x:c>
      <x:c r="P11" s="33" t="str">
        <x:v>Y</x:v>
      </x:c>
      <x:c r="Q11" s="33" t="n">
        <x:v>4.9</x:v>
      </x:c>
      <x:c r="R11" s="33" t="n">
        <x:v>0</x:v>
      </x:c>
      <x:c r="S11" s="34" t="str">
        <x:v>dome good</x:v>
      </x:c>
      <x:c r="T11" s="33"/>
      <x:c r="U11" s="33"/>
      <x:c r="V11" s="33"/>
      <x:c r="W11" s="33"/>
      <x:c r="X11" s="33"/>
      <x:c r="Y11" s="33"/>
      <x:c r="Z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2" t="n">
        <x:v>3</x:v>
      </x:c>
      <x:c r="K12" s="33" t="str">
        <x:v>기본</x:v>
      </x:c>
      <x:c r="L12" s="33" t="n">
        <x:v>1</x:v>
      </x:c>
      <x:c r="M12" s="236" t="n">
        <x:v>36.4</x:v>
      </x:c>
      <x:c r="N12" s="236" t="n">
        <x:v>2.8</x:v>
      </x:c>
      <x:c r="O12" s="33" t="str">
        <x:v>gold</x:v>
      </x:c>
      <x:c r="P12" s="33" t="str">
        <x:v>N</x:v>
      </x:c>
      <x:c r="Q12" s="33" t="n">
        <x:v>2.9</x:v>
      </x:c>
      <x:c r="R12" s="33" t="n">
        <x:v>1.5</x:v>
      </x:c>
      <x:c r="S12" s="34" t="str">
        <x:v>dome good</x:v>
      </x:c>
      <x:c r="T12" s="33"/>
      <x:c r="U12" s="33"/>
      <x:c r="V12" s="33"/>
      <x:c r="W12" s="33"/>
      <x:c r="X12" s="33"/>
      <x:c r="Y12" s="33"/>
      <x:c r="Z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2" t="n">
        <x:v>3</x:v>
      </x:c>
      <x:c r="K13" s="33" t="str">
        <x:v>기본</x:v>
      </x:c>
      <x:c r="L13" s="33" t="n">
        <x:v>2</x:v>
      </x:c>
      <x:c r="M13" s="236" t="n">
        <x:v>36.6</x:v>
      </x:c>
      <x:c r="N13" s="236" t="n">
        <x:v>2.6</x:v>
      </x:c>
      <x:c r="O13" s="33" t="str">
        <x:v>dark edge</x:v>
      </x:c>
      <x:c r="P13" s="33" t="str">
        <x:v>N</x:v>
      </x:c>
      <x:c r="Q13" s="33" t="n">
        <x:v>3.2</x:v>
      </x:c>
      <x:c r="R13" s="33" t="n">
        <x:v>1.3</x:v>
      </x:c>
      <x:c r="S13" s="34" t="str">
        <x:v>사진</x:v>
      </x:c>
      <x:c r="T13" s="33"/>
      <x:c r="U13" s="33"/>
      <x:c r="V13" s="33"/>
      <x:c r="W13" s="33"/>
      <x:c r="X13" s="33"/>
      <x:c r="Y13" s="33"/>
      <x:c r="Z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2" t="n">
        <x:v>3</x:v>
      </x:c>
      <x:c r="K14" s="33" t="str">
        <x:v>슈가coat</x:v>
      </x:c>
      <x:c r="L14" s="33" t="n">
        <x:v>1</x:v>
      </x:c>
      <x:c r="M14" s="236" t="n">
        <x:v>36.9</x:v>
      </x:c>
      <x:c r="N14" s="236" t="n">
        <x:v>2.9</x:v>
      </x:c>
      <x:c r="O14" s="33" t="str">
        <x:v>pale</x:v>
      </x:c>
      <x:c r="P14" s="33" t="str">
        <x:v>N</x:v>
      </x:c>
      <x:c r="Q14" s="33" t="n">
        <x:v>4.2</x:v>
      </x:c>
      <x:c r="R14" s="33" t="n">
        <x:v>1.4</x:v>
      </x:c>
      <x:c r="S14" s="34" t="str">
        <x:v>edge↑</x:v>
      </x:c>
      <x:c r="T14" s="33"/>
      <x:c r="U14" s="33"/>
      <x:c r="V14" s="33"/>
      <x:c r="W14" s="33"/>
      <x:c r="X14" s="33"/>
      <x:c r="Y14" s="33"/>
      <x:c r="Z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2" t="n">
        <x:v>3</x:v>
      </x:c>
      <x:c r="K15" s="33" t="str">
        <x:v>슈가coat</x:v>
      </x:c>
      <x:c r="L15" s="33" t="n">
        <x:v>2</x:v>
      </x:c>
      <x:c r="M15" s="236" t="n">
        <x:v>36.4</x:v>
      </x:c>
      <x:c r="N15" s="236" t="n">
        <x:v>3.4</x:v>
      </x:c>
      <x:c r="O15" s="33" t="str">
        <x:v>pale</x:v>
      </x:c>
      <x:c r="P15" s="33" t="str">
        <x:v>N</x:v>
      </x:c>
      <x:c r="Q15" s="33" t="n">
        <x:v>3.9</x:v>
      </x:c>
      <x:c r="R15" s="33" t="n">
        <x:v>1.8</x:v>
      </x:c>
      <x:c r="S15" s="34" t="str">
        <x:v>사진</x:v>
      </x:c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2" t="n">
        <x:v>6</x:v>
      </x:c>
      <x:c r="K16" s="33" t="str">
        <x:v>기본</x:v>
      </x:c>
      <x:c r="L16" s="33" t="n">
        <x:v>1</x:v>
      </x:c>
      <x:c r="M16" s="236" t="n">
        <x:v>46.3</x:v>
      </x:c>
      <x:c r="N16" s="236" t="n">
        <x:v>4</x:v>
      </x:c>
      <x:c r="O16" s="33" t="str">
        <x:v>brown</x:v>
      </x:c>
      <x:c r="P16" s="33" t="str">
        <x:v>Y</x:v>
      </x:c>
      <x:c r="Q16" s="33" t="n">
        <x:v>3</x:v>
      </x:c>
      <x:c r="R16" s="33" t="n">
        <x:v>3.5</x:v>
      </x:c>
      <x:c r="S16" s="34" t="str">
        <x:v>dome good</x:v>
      </x:c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2" t="n">
        <x:v>6</x:v>
      </x:c>
      <x:c r="K17" s="33" t="str">
        <x:v>기본</x:v>
      </x:c>
      <x:c r="L17" s="33" t="n">
        <x:v>2</x:v>
      </x:c>
      <x:c r="M17" s="236" t="n">
        <x:v>46.8</x:v>
      </x:c>
      <x:c r="N17" s="236" t="n">
        <x:v>4.2</x:v>
      </x:c>
      <x:c r="O17" s="33" t="str">
        <x:v>brown</x:v>
      </x:c>
      <x:c r="P17" s="33" t="str">
        <x:v>N</x:v>
      </x:c>
      <x:c r="Q17" s="33" t="n">
        <x:v>4.7</x:v>
      </x:c>
      <x:c r="R17" s="33" t="n">
        <x:v>3</x:v>
      </x:c>
      <x:c r="S17" s="34" t="str">
        <x:v>-</x:v>
      </x:c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2" t="n">
        <x:v>6</x:v>
      </x:c>
      <x:c r="K18" s="33" t="str">
        <x:v>럼</x:v>
      </x:c>
      <x:c r="L18" s="33" t="n">
        <x:v>1</x:v>
      </x:c>
      <x:c r="M18" s="236" t="n">
        <x:v>47.8</x:v>
      </x:c>
      <x:c r="N18" s="236" t="n">
        <x:v>4.4</x:v>
      </x:c>
      <x:c r="O18" s="33" t="str">
        <x:v>dark edge</x:v>
      </x:c>
      <x:c r="P18" s="33" t="str">
        <x:v>N</x:v>
      </x:c>
      <x:c r="Q18" s="33" t="n">
        <x:v>4</x:v>
      </x:c>
      <x:c r="R18" s="33" t="n">
        <x:v>2.9</x:v>
      </x:c>
      <x:c r="S18" s="34" t="str">
        <x:v>edge↑</x:v>
      </x:c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2" t="n">
        <x:v>6</x:v>
      </x:c>
      <x:c r="K19" s="33" t="str">
        <x:v>럼</x:v>
      </x:c>
      <x:c r="L19" s="33" t="n">
        <x:v>2</x:v>
      </x:c>
      <x:c r="M19" s="236" t="n">
        <x:v>47.9</x:v>
      </x:c>
      <x:c r="N19" s="236" t="n">
        <x:v>4.6</x:v>
      </x:c>
      <x:c r="O19" s="33" t="str">
        <x:v>brown</x:v>
      </x:c>
      <x:c r="P19" s="33" t="str">
        <x:v>N</x:v>
      </x:c>
      <x:c r="Q19" s="33" t="n">
        <x:v>3.4</x:v>
      </x:c>
      <x:c r="R19" s="33" t="n">
        <x:v>3.2</x:v>
      </x:c>
      <x:c r="S19" s="34" t="str">
        <x:v>edge↑</x:v>
      </x:c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2" t="n">
        <x:v>6</x:v>
      </x:c>
      <x:c r="K20" s="33" t="str">
        <x:v>슈가coat</x:v>
      </x:c>
      <x:c r="L20" s="33" t="n">
        <x:v>1</x:v>
      </x:c>
      <x:c r="M20" s="236" t="n">
        <x:v>47.1</x:v>
      </x:c>
      <x:c r="N20" s="236" t="n">
        <x:v>5</x:v>
      </x:c>
      <x:c r="O20" s="33" t="str">
        <x:v>brown</x:v>
      </x:c>
      <x:c r="P20" s="33" t="str">
        <x:v>N</x:v>
      </x:c>
      <x:c r="Q20" s="33" t="n">
        <x:v>4.9</x:v>
      </x:c>
      <x:c r="R20" s="33" t="n">
        <x:v>3.3</x:v>
      </x:c>
      <x:c r="S20" s="34" t="str">
        <x:v>dome good</x:v>
      </x:c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2" t="n">
        <x:v>6</x:v>
      </x:c>
      <x:c r="K21" s="33" t="str">
        <x:v>슈가coat</x:v>
      </x:c>
      <x:c r="L21" s="33" t="n">
        <x:v>2</x:v>
      </x:c>
      <x:c r="M21" s="236" t="n">
        <x:v>48.4</x:v>
      </x:c>
      <x:c r="N21" s="236" t="n">
        <x:v>4.6</x:v>
      </x:c>
      <x:c r="O21" s="33" t="str">
        <x:v>pale</x:v>
      </x:c>
      <x:c r="P21" s="33" t="str">
        <x:v>N</x:v>
      </x:c>
      <x:c r="Q21" s="33" t="n">
        <x:v>3.8</x:v>
      </x:c>
      <x:c r="R21" s="33" t="n">
        <x:v>3.1</x:v>
      </x:c>
      <x:c r="S21" s="34" t="str">
        <x:v>edge↑</x:v>
      </x:c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2" t="n">
        <x:v>6</x:v>
      </x:c>
      <x:c r="K22" s="33" t="str">
        <x:v>아몬드T</x:v>
      </x:c>
      <x:c r="L22" s="33" t="n">
        <x:v>1</x:v>
      </x:c>
      <x:c r="M22" s="236" t="n">
        <x:v>47.7</x:v>
      </x:c>
      <x:c r="N22" s="236" t="n">
        <x:v>5.5</x:v>
      </x:c>
      <x:c r="O22" s="33" t="str">
        <x:v>gold</x:v>
      </x:c>
      <x:c r="P22" s="33" t="str">
        <x:v>N</x:v>
      </x:c>
      <x:c r="Q22" s="33" t="n">
        <x:v>3.7</x:v>
      </x:c>
      <x:c r="R22" s="33" t="n">
        <x:v>3.2</x:v>
      </x:c>
      <x:c r="S22" s="34" t="str">
        <x:v>edge↑</x:v>
      </x:c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2" t="n">
        <x:v>6</x:v>
      </x:c>
      <x:c r="K23" s="33" t="str">
        <x:v>아몬드T</x:v>
      </x:c>
      <x:c r="L23" s="33" t="n">
        <x:v>2</x:v>
      </x:c>
      <x:c r="M23" s="236" t="n">
        <x:v>47.9</x:v>
      </x:c>
      <x:c r="N23" s="236" t="n">
        <x:v>5.5</x:v>
      </x:c>
      <x:c r="O23" s="33" t="str">
        <x:v>pale</x:v>
      </x:c>
      <x:c r="P23" s="33" t="str">
        <x:v>Y</x:v>
      </x:c>
      <x:c r="Q23" s="33" t="n">
        <x:v>3.7</x:v>
      </x:c>
      <x:c r="R23" s="33" t="n">
        <x:v>3.4</x:v>
      </x:c>
      <x:c r="S23" s="34" t="str">
        <x:v>edge↑</x:v>
      </x:c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2" t="n">
        <x:v>9</x:v>
      </x:c>
      <x:c r="K24" s="33" t="str">
        <x:v>기본</x:v>
      </x:c>
      <x:c r="L24" s="33" t="n">
        <x:v>1</x:v>
      </x:c>
      <x:c r="M24" s="236" t="n">
        <x:v>57.8</x:v>
      </x:c>
      <x:c r="N24" s="236" t="n">
        <x:v>5.2</x:v>
      </x:c>
      <x:c r="O24" s="33" t="str">
        <x:v>dark edge</x:v>
      </x:c>
      <x:c r="P24" s="33" t="str">
        <x:v>Y</x:v>
      </x:c>
      <x:c r="Q24" s="33" t="n">
        <x:v>3.4</x:v>
      </x:c>
      <x:c r="R24" s="33" t="n">
        <x:v>4.9</x:v>
      </x:c>
      <x:c r="S24" s="34" t="str">
        <x:v>edge↑</x:v>
      </x:c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2" t="n">
        <x:v>9</x:v>
      </x:c>
      <x:c r="K25" s="33" t="str">
        <x:v>기본</x:v>
      </x:c>
      <x:c r="L25" s="33" t="n">
        <x:v>2</x:v>
      </x:c>
      <x:c r="M25" s="236" t="n">
        <x:v>57.6</x:v>
      </x:c>
      <x:c r="N25" s="236" t="n">
        <x:v>5.8</x:v>
      </x:c>
      <x:c r="O25" s="33" t="str">
        <x:v>pale</x:v>
      </x:c>
      <x:c r="P25" s="33" t="str">
        <x:v>N</x:v>
      </x:c>
      <x:c r="Q25" s="33" t="n">
        <x:v>4.6</x:v>
      </x:c>
      <x:c r="R25" s="33" t="n">
        <x:v>4.9</x:v>
      </x:c>
      <x:c r="S25" s="34" t="str">
        <x:v>사진</x:v>
      </x:c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2" t="n">
        <x:v>9</x:v>
      </x:c>
      <x:c r="K26" s="33" t="str">
        <x:v>아몬드T</x:v>
      </x:c>
      <x:c r="L26" s="33" t="n">
        <x:v>1</x:v>
      </x:c>
      <x:c r="M26" s="236" t="n">
        <x:v>57.6</x:v>
      </x:c>
      <x:c r="N26" s="236" t="n">
        <x:v>6</x:v>
      </x:c>
      <x:c r="O26" s="33" t="str">
        <x:v>gold</x:v>
      </x:c>
      <x:c r="P26" s="33" t="str">
        <x:v>N</x:v>
      </x:c>
      <x:c r="Q26" s="33" t="n">
        <x:v>3.1</x:v>
      </x:c>
      <x:c r="R26" s="33" t="n">
        <x:v>4.9</x:v>
      </x:c>
      <x:c r="S26" s="34" t="str">
        <x:v>사진</x:v>
      </x:c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2" t="n">
        <x:v>9</x:v>
      </x:c>
      <x:c r="K27" s="33" t="str">
        <x:v>아몬드T</x:v>
      </x:c>
      <x:c r="L27" s="33" t="n">
        <x:v>2</x:v>
      </x:c>
      <x:c r="M27" s="236" t="n">
        <x:v>57.8</x:v>
      </x:c>
      <x:c r="N27" s="236" t="n">
        <x:v>5.8</x:v>
      </x:c>
      <x:c r="O27" s="33" t="str">
        <x:v>gold</x:v>
      </x:c>
      <x:c r="P27" s="33" t="str">
        <x:v>Y</x:v>
      </x:c>
      <x:c r="Q27" s="33" t="n">
        <x:v>2.7</x:v>
      </x:c>
      <x:c r="R27" s="33" t="n">
        <x:v>4.5</x:v>
      </x:c>
      <x:c r="S27" s="34" t="str">
        <x:v>-</x:v>
      </x:c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2" t="n">
        <x:v>12</x:v>
      </x:c>
      <x:c r="K28" s="33" t="str">
        <x:v>기본</x:v>
      </x:c>
      <x:c r="L28" s="33" t="n">
        <x:v>1</x:v>
      </x:c>
      <x:c r="M28" s="236" t="n">
        <x:v>68</x:v>
      </x:c>
      <x:c r="N28" s="236" t="n">
        <x:v>6.8</x:v>
      </x:c>
      <x:c r="O28" s="33" t="str">
        <x:v>dark edge</x:v>
      </x:c>
      <x:c r="P28" s="33" t="str">
        <x:v>N</x:v>
      </x:c>
      <x:c r="Q28" s="33" t="n">
        <x:v>4.2</x:v>
      </x:c>
      <x:c r="R28" s="33" t="n">
        <x:v>6.4</x:v>
      </x:c>
      <x:c r="S28" s="34" t="str">
        <x:v>-</x:v>
      </x:c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2" t="n">
        <x:v>12</x:v>
      </x:c>
      <x:c r="K29" s="33" t="str">
        <x:v>기본</x:v>
      </x:c>
      <x:c r="L29" s="33" t="n">
        <x:v>2</x:v>
      </x:c>
      <x:c r="M29" s="236" t="n">
        <x:v>68.6</x:v>
      </x:c>
      <x:c r="N29" s="236" t="n">
        <x:v>7</x:v>
      </x:c>
      <x:c r="O29" s="33" t="str">
        <x:v>gold</x:v>
      </x:c>
      <x:c r="P29" s="33" t="str">
        <x:v>N</x:v>
      </x:c>
      <x:c r="Q29" s="33" t="n">
        <x:v>4.9</x:v>
      </x:c>
      <x:c r="R29" s="33" t="n">
        <x:v>6</x:v>
      </x:c>
      <x:c r="S29" s="34" t="str">
        <x:v>사진</x:v>
      </x:c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2" t="n">
        <x:v>12</x:v>
      </x:c>
      <x:c r="K30" s="33" t="str">
        <x:v>럼</x:v>
      </x:c>
      <x:c r="L30" s="33" t="n">
        <x:v>1</x:v>
      </x:c>
      <x:c r="M30" s="236" t="n">
        <x:v>68.1</x:v>
      </x:c>
      <x:c r="N30" s="236" t="n">
        <x:v>7.2</x:v>
      </x:c>
      <x:c r="O30" s="33" t="str">
        <x:v>brown</x:v>
      </x:c>
      <x:c r="P30" s="33" t="str">
        <x:v>N</x:v>
      </x:c>
      <x:c r="Q30" s="33" t="n">
        <x:v>4.7</x:v>
      </x:c>
      <x:c r="R30" s="33" t="n">
        <x:v>6.3</x:v>
      </x:c>
      <x:c r="S30" s="34" t="str">
        <x:v>사진</x:v>
      </x:c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2" t="n">
        <x:v>12</x:v>
      </x:c>
      <x:c r="K31" s="33" t="str">
        <x:v>럼</x:v>
      </x:c>
      <x:c r="L31" s="33" t="n">
        <x:v>2</x:v>
      </x:c>
      <x:c r="M31" s="236" t="n">
        <x:v>68.6</x:v>
      </x:c>
      <x:c r="N31" s="236" t="n">
        <x:v>7.1</x:v>
      </x:c>
      <x:c r="O31" s="33" t="str">
        <x:v>brown</x:v>
      </x:c>
      <x:c r="P31" s="33" t="str">
        <x:v>N</x:v>
      </x:c>
      <x:c r="Q31" s="33" t="n">
        <x:v>2.9</x:v>
      </x:c>
      <x:c r="R31" s="33" t="n">
        <x:v>6.3</x:v>
      </x:c>
      <x:c r="S31" s="34" t="str">
        <x:v>edge↑</x:v>
      </x:c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2" t="n">
        <x:v>12</x:v>
      </x:c>
      <x:c r="K32" s="33" t="str">
        <x:v>슈가coat</x:v>
      </x:c>
      <x:c r="L32" s="33" t="n">
        <x:v>1</x:v>
      </x:c>
      <x:c r="M32" s="236" t="n">
        <x:v>68.5</x:v>
      </x:c>
      <x:c r="N32" s="236" t="n">
        <x:v>7.5</x:v>
      </x:c>
      <x:c r="O32" s="33" t="str">
        <x:v>pale</x:v>
      </x:c>
      <x:c r="P32" s="33" t="str">
        <x:v>N</x:v>
      </x:c>
      <x:c r="Q32" s="33" t="n">
        <x:v>2.9</x:v>
      </x:c>
      <x:c r="R32" s="33" t="n">
        <x:v>6.5</x:v>
      </x:c>
      <x:c r="S32" s="34" t="str">
        <x:v>dome good</x:v>
      </x:c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2" t="n">
        <x:v>12</x:v>
      </x:c>
      <x:c r="K33" s="33" t="str">
        <x:v>슈가coat</x:v>
      </x:c>
      <x:c r="L33" s="33" t="n">
        <x:v>2</x:v>
      </x:c>
      <x:c r="M33" s="236" t="n">
        <x:v>69.5</x:v>
      </x:c>
      <x:c r="N33" s="236" t="n">
        <x:v>7.5</x:v>
      </x:c>
      <x:c r="O33" s="33" t="str">
        <x:v>pale</x:v>
      </x:c>
      <x:c r="P33" s="33" t="str">
        <x:v>N</x:v>
      </x:c>
      <x:c r="Q33" s="33" t="n">
        <x:v>4.1</x:v>
      </x:c>
      <x:c r="R33" s="33" t="n">
        <x:v>6.4</x:v>
      </x:c>
      <x:c r="S33" s="34" t="str">
        <x:v>dome good</x:v>
      </x:c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2" t="n">
        <x:v>12</x:v>
      </x:c>
      <x:c r="K34" s="33" t="str">
        <x:v>아몬드T</x:v>
      </x:c>
      <x:c r="L34" s="33" t="n">
        <x:v>1</x:v>
      </x:c>
      <x:c r="M34" s="236" t="n">
        <x:v>69.8</x:v>
      </x:c>
      <x:c r="N34" s="236" t="n">
        <x:v>7.9</x:v>
      </x:c>
      <x:c r="O34" s="33" t="str">
        <x:v>brown</x:v>
      </x:c>
      <x:c r="P34" s="33" t="str">
        <x:v>N</x:v>
      </x:c>
      <x:c r="Q34" s="33" t="n">
        <x:v>4.2</x:v>
      </x:c>
      <x:c r="R34" s="33" t="n">
        <x:v>6</x:v>
      </x:c>
      <x:c r="S34" s="34" t="str">
        <x:v>edge↑</x:v>
      </x:c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2" t="n">
        <x:v>12</x:v>
      </x:c>
      <x:c r="K35" s="33" t="str">
        <x:v>아몬드T</x:v>
      </x:c>
      <x:c r="L35" s="33" t="n">
        <x:v>2</x:v>
      </x:c>
      <x:c r="M35" s="236" t="n">
        <x:v>70.4</x:v>
      </x:c>
      <x:c r="N35" s="236" t="n">
        <x:v>8.1</x:v>
      </x:c>
      <x:c r="O35" s="33" t="str">
        <x:v>pale</x:v>
      </x:c>
      <x:c r="P35" s="33" t="str">
        <x:v>N</x:v>
      </x:c>
      <x:c r="Q35" s="33" t="n">
        <x:v>4.2</x:v>
      </x:c>
      <x:c r="R35" s="33" t="n">
        <x:v>6.4</x:v>
      </x:c>
      <x:c r="S35" s="34" t="str">
        <x:v>사진</x:v>
      </x:c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2" t="n">
        <x:v>15</x:v>
      </x:c>
      <x:c r="K36" s="33" t="str">
        <x:v>기본</x:v>
      </x:c>
      <x:c r="L36" s="33" t="n">
        <x:v>1</x:v>
      </x:c>
      <x:c r="M36" s="236" t="n">
        <x:v>78</x:v>
      </x:c>
      <x:c r="N36" s="236" t="n">
        <x:v>8.3</x:v>
      </x:c>
      <x:c r="O36" s="33" t="str">
        <x:v>pale</x:v>
      </x:c>
      <x:c r="P36" s="33" t="str">
        <x:v>N</x:v>
      </x:c>
      <x:c r="Q36" s="33" t="n">
        <x:v>2.6</x:v>
      </x:c>
      <x:c r="R36" s="33" t="n">
        <x:v>7.6</x:v>
      </x:c>
      <x:c r="S36" s="34" t="str">
        <x:v>-</x:v>
      </x:c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2" t="n">
        <x:v>15</x:v>
      </x:c>
      <x:c r="K37" s="33" t="str">
        <x:v>기본</x:v>
      </x:c>
      <x:c r="L37" s="33" t="n">
        <x:v>2</x:v>
      </x:c>
      <x:c r="M37" s="236" t="n">
        <x:v>78.8</x:v>
      </x:c>
      <x:c r="N37" s="236" t="n">
        <x:v>8.5</x:v>
      </x:c>
      <x:c r="O37" s="33" t="str">
        <x:v>dark edge</x:v>
      </x:c>
      <x:c r="P37" s="33" t="str">
        <x:v>N</x:v>
      </x:c>
      <x:c r="Q37" s="33" t="n">
        <x:v>4.3</x:v>
      </x:c>
      <x:c r="R37" s="33" t="n">
        <x:v>7.8</x:v>
      </x:c>
      <x:c r="S37" s="34" t="str">
        <x:v>-</x:v>
      </x:c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2" t="n">
        <x:v>15</x:v>
      </x:c>
      <x:c r="K38" s="33" t="str">
        <x:v>아몬드T</x:v>
      </x:c>
      <x:c r="L38" s="33" t="n">
        <x:v>1</x:v>
      </x:c>
      <x:c r="M38" s="236" t="n">
        <x:v>78.9</x:v>
      </x:c>
      <x:c r="N38" s="236" t="n">
        <x:v>8.4</x:v>
      </x:c>
      <x:c r="O38" s="33" t="str">
        <x:v>gold</x:v>
      </x:c>
      <x:c r="P38" s="33" t="str">
        <x:v>N</x:v>
      </x:c>
      <x:c r="Q38" s="33" t="n">
        <x:v>3.4</x:v>
      </x:c>
      <x:c r="R38" s="33" t="n">
        <x:v>7.7</x:v>
      </x:c>
      <x:c r="S38" s="34" t="str">
        <x:v>edge↑</x:v>
      </x:c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2" t="n">
        <x:v>15</x:v>
      </x:c>
      <x:c r="K39" s="33" t="str">
        <x:v>아몬드T</x:v>
      </x:c>
      <x:c r="L39" s="33" t="n">
        <x:v>2</x:v>
      </x:c>
      <x:c r="M39" s="236" t="n">
        <x:v>78.9</x:v>
      </x:c>
      <x:c r="N39" s="236" t="n">
        <x:v>9</x:v>
      </x:c>
      <x:c r="O39" s="33" t="str">
        <x:v>dark edge</x:v>
      </x:c>
      <x:c r="P39" s="33" t="str">
        <x:v>Y</x:v>
      </x:c>
      <x:c r="Q39" s="33" t="n">
        <x:v>4.4</x:v>
      </x:c>
      <x:c r="R39" s="33" t="n">
        <x:v>8</x:v>
      </x:c>
      <x:c r="S39" s="34" t="str">
        <x:v>사진</x:v>
      </x:c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2" t="n">
        <x:v>18</x:v>
      </x:c>
      <x:c r="K40" s="33" t="str">
        <x:v>기본</x:v>
      </x:c>
      <x:c r="L40" s="33" t="n">
        <x:v>1</x:v>
      </x:c>
      <x:c r="M40" s="236" t="n">
        <x:v>89.1</x:v>
      </x:c>
      <x:c r="N40" s="236" t="n">
        <x:v>9.7</x:v>
      </x:c>
      <x:c r="O40" s="33" t="str">
        <x:v>gold</x:v>
      </x:c>
      <x:c r="P40" s="33" t="str">
        <x:v>N</x:v>
      </x:c>
      <x:c r="Q40" s="33" t="n">
        <x:v>3.1</x:v>
      </x:c>
      <x:c r="R40" s="33" t="n">
        <x:v>9.6</x:v>
      </x:c>
      <x:c r="S40" s="34" t="str">
        <x:v>dome good</x:v>
      </x:c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2" t="n">
        <x:v>18</x:v>
      </x:c>
      <x:c r="K41" s="33" t="str">
        <x:v>기본</x:v>
      </x:c>
      <x:c r="L41" s="33" t="n">
        <x:v>2</x:v>
      </x:c>
      <x:c r="M41" s="236" t="n">
        <x:v>89.7</x:v>
      </x:c>
      <x:c r="N41" s="236" t="n">
        <x:v>10</x:v>
      </x:c>
      <x:c r="O41" s="33" t="str">
        <x:v>brown</x:v>
      </x:c>
      <x:c r="P41" s="33" t="str">
        <x:v>N</x:v>
      </x:c>
      <x:c r="Q41" s="33" t="n">
        <x:v>3.5</x:v>
      </x:c>
      <x:c r="R41" s="33" t="n">
        <x:v>9.5</x:v>
      </x:c>
      <x:c r="S41" s="34" t="str">
        <x:v>edge↑</x:v>
      </x:c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2" t="n">
        <x:v>18</x:v>
      </x:c>
      <x:c r="K42" s="33" t="str">
        <x:v>럼</x:v>
      </x:c>
      <x:c r="L42" s="33" t="n">
        <x:v>1</x:v>
      </x:c>
      <x:c r="M42" s="236" t="n">
        <x:v>90</x:v>
      </x:c>
      <x:c r="N42" s="236" t="n">
        <x:v>10.4</x:v>
      </x:c>
      <x:c r="O42" s="33" t="str">
        <x:v>brown</x:v>
      </x:c>
      <x:c r="P42" s="33" t="str">
        <x:v>N</x:v>
      </x:c>
      <x:c r="Q42" s="33" t="n">
        <x:v>4.2</x:v>
      </x:c>
      <x:c r="R42" s="33" t="n">
        <x:v>9.2</x:v>
      </x:c>
      <x:c r="S42" s="34" t="str">
        <x:v>edge↑</x:v>
      </x:c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2" t="n">
        <x:v>18</x:v>
      </x:c>
      <x:c r="K43" s="33" t="str">
        <x:v>럼</x:v>
      </x:c>
      <x:c r="L43" s="33" t="n">
        <x:v>2</x:v>
      </x:c>
      <x:c r="M43" s="236" t="n">
        <x:v>89.4</x:v>
      </x:c>
      <x:c r="N43" s="236" t="n">
        <x:v>9.9</x:v>
      </x:c>
      <x:c r="O43" s="33" t="str">
        <x:v>dark edge</x:v>
      </x:c>
      <x:c r="P43" s="33" t="str">
        <x:v>N</x:v>
      </x:c>
      <x:c r="Q43" s="33" t="n">
        <x:v>3.7</x:v>
      </x:c>
      <x:c r="R43" s="33" t="n">
        <x:v>9.5</x:v>
      </x:c>
      <x:c r="S43" s="34" t="str">
        <x:v>dome good</x:v>
      </x:c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2" t="n">
        <x:v>18</x:v>
      </x:c>
      <x:c r="K44" s="33" t="str">
        <x:v>슈가coat</x:v>
      </x:c>
      <x:c r="L44" s="33" t="n">
        <x:v>1</x:v>
      </x:c>
      <x:c r="M44" s="236" t="n">
        <x:v>90.5</x:v>
      </x:c>
      <x:c r="N44" s="236" t="n">
        <x:v>10.2</x:v>
      </x:c>
      <x:c r="O44" s="33" t="str">
        <x:v>gold</x:v>
      </x:c>
      <x:c r="P44" s="33" t="str">
        <x:v>Y</x:v>
      </x:c>
      <x:c r="Q44" s="33" t="n">
        <x:v>4.5</x:v>
      </x:c>
      <x:c r="R44" s="33" t="n">
        <x:v>9.5</x:v>
      </x:c>
      <x:c r="S44" s="34" t="str">
        <x:v>-</x:v>
      </x:c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2" t="n">
        <x:v>18</x:v>
      </x:c>
      <x:c r="K45" s="33" t="str">
        <x:v>슈가coat</x:v>
      </x:c>
      <x:c r="L45" s="33" t="n">
        <x:v>2</x:v>
      </x:c>
      <x:c r="M45" s="236" t="n">
        <x:v>90.8</x:v>
      </x:c>
      <x:c r="N45" s="236" t="n">
        <x:v>10.2</x:v>
      </x:c>
      <x:c r="O45" s="33" t="str">
        <x:v>dark edge</x:v>
      </x:c>
      <x:c r="P45" s="33" t="str">
        <x:v>N</x:v>
      </x:c>
      <x:c r="Q45" s="33" t="n">
        <x:v>3.9</x:v>
      </x:c>
      <x:c r="R45" s="33" t="n">
        <x:v>9.3</x:v>
      </x:c>
      <x:c r="S45" s="34" t="str">
        <x:v>-</x:v>
      </x:c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2" t="n">
        <x:v>18</x:v>
      </x:c>
      <x:c r="K46" s="33" t="str">
        <x:v>아몬드T</x:v>
      </x:c>
      <x:c r="L46" s="33" t="n">
        <x:v>1</x:v>
      </x:c>
      <x:c r="M46" s="236" t="n">
        <x:v>90.7</x:v>
      </x:c>
      <x:c r="N46" s="236" t="n">
        <x:v>10.6</x:v>
      </x:c>
      <x:c r="O46" s="33" t="str">
        <x:v>gold</x:v>
      </x:c>
      <x:c r="P46" s="33" t="str">
        <x:v>N</x:v>
      </x:c>
      <x:c r="Q46" s="33" t="n">
        <x:v>2.7</x:v>
      </x:c>
      <x:c r="R46" s="33" t="n">
        <x:v>9.2</x:v>
      </x:c>
      <x:c r="S46" s="34" t="str">
        <x:v>edge↑</x:v>
      </x:c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2" t="n">
        <x:v>18</x:v>
      </x:c>
      <x:c r="K47" s="33" t="str">
        <x:v>아몬드T</x:v>
      </x:c>
      <x:c r="L47" s="33" t="n">
        <x:v>2</x:v>
      </x:c>
      <x:c r="M47" s="236" t="n">
        <x:v>91.9</x:v>
      </x:c>
      <x:c r="N47" s="236" t="n">
        <x:v>11.2</x:v>
      </x:c>
      <x:c r="O47" s="33" t="str">
        <x:v>brown</x:v>
      </x:c>
      <x:c r="P47" s="33" t="str">
        <x:v>N</x:v>
      </x:c>
      <x:c r="Q47" s="33" t="n">
        <x:v>2.9</x:v>
      </x:c>
      <x:c r="R47" s="33" t="n">
        <x:v>9.6</x:v>
      </x:c>
      <x:c r="S47" s="34" t="str">
        <x:v>dome good</x:v>
      </x:c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2" t="n">
        <x:v>21</x:v>
      </x:c>
      <x:c r="K48" s="33" t="str">
        <x:v>기본</x:v>
      </x:c>
      <x:c r="L48" s="33" t="n">
        <x:v>1</x:v>
      </x:c>
      <x:c r="M48" s="236" t="n">
        <x:v>99.4</x:v>
      </x:c>
      <x:c r="N48" s="236" t="n">
        <x:v>11.3</x:v>
      </x:c>
      <x:c r="O48" s="33" t="str">
        <x:v>pale</x:v>
      </x:c>
      <x:c r="P48" s="33" t="str">
        <x:v>N</x:v>
      </x:c>
      <x:c r="Q48" s="33" t="n">
        <x:v>4.8</x:v>
      </x:c>
      <x:c r="R48" s="33" t="n">
        <x:v>11.1</x:v>
      </x:c>
      <x:c r="S48" s="34" t="str">
        <x:v>edge↑</x:v>
      </x:c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2" t="n">
        <x:v>21</x:v>
      </x:c>
      <x:c r="K49" s="33" t="str">
        <x:v>기본</x:v>
      </x:c>
      <x:c r="L49" s="33" t="n">
        <x:v>2</x:v>
      </x:c>
      <x:c r="M49" s="236" t="n">
        <x:v>99.4</x:v>
      </x:c>
      <x:c r="N49" s="236" t="n">
        <x:v>11.2</x:v>
      </x:c>
      <x:c r="O49" s="33" t="str">
        <x:v>gold</x:v>
      </x:c>
      <x:c r="P49" s="33" t="str">
        <x:v>N</x:v>
      </x:c>
      <x:c r="Q49" s="33" t="n">
        <x:v>4.6</x:v>
      </x:c>
      <x:c r="R49" s="33" t="n">
        <x:v>11</x:v>
      </x:c>
      <x:c r="S49" s="34" t="str">
        <x:v>edge↑</x:v>
      </x:c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2" t="n">
        <x:v>21</x:v>
      </x:c>
      <x:c r="K50" s="33" t="str">
        <x:v>슈가coat</x:v>
      </x:c>
      <x:c r="L50" s="33" t="n">
        <x:v>1</x:v>
      </x:c>
      <x:c r="M50" s="236" t="n">
        <x:v>99.4</x:v>
      </x:c>
      <x:c r="N50" s="236" t="n">
        <x:v>11.2</x:v>
      </x:c>
      <x:c r="O50" s="33" t="str">
        <x:v>dark edge</x:v>
      </x:c>
      <x:c r="P50" s="33" t="str">
        <x:v>Y</x:v>
      </x:c>
      <x:c r="Q50" s="33" t="n">
        <x:v>4.5</x:v>
      </x:c>
      <x:c r="R50" s="33" t="n">
        <x:v>10.8</x:v>
      </x:c>
      <x:c r="S50" s="34" t="str">
        <x:v>edge↑</x:v>
      </x:c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5" t="n">
        <x:v>21</x:v>
      </x:c>
      <x:c r="K51" s="36" t="str">
        <x:v>슈가coat</x:v>
      </x:c>
      <x:c r="L51" s="36" t="n">
        <x:v>2</x:v>
      </x:c>
      <x:c r="M51" s="237" t="n">
        <x:v>99.4</x:v>
      </x:c>
      <x:c r="N51" s="237" t="n">
        <x:v>11.8</x:v>
      </x:c>
      <x:c r="O51" s="36" t="str">
        <x:v>brown</x:v>
      </x:c>
      <x:c r="P51" s="36" t="str">
        <x:v>N</x:v>
      </x:c>
      <x:c r="Q51" s="36" t="n">
        <x:v>4.1</x:v>
      </x:c>
      <x:c r="R51" s="36" t="n">
        <x:v>11.1</x:v>
      </x:c>
      <x:c r="S51" s="37" t="str">
        <x:v>사진</x:v>
      </x:c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</x:sheetData>
  <x:mergeCells>
    <x:mergeCell ref="D3:P4"/>
    <x:mergeCell ref="K8:K9"/>
    <x:mergeCell ref="J8:J9"/>
    <x:mergeCell ref="K10:K11"/>
    <x:mergeCell ref="J10:J11"/>
    <x:mergeCell ref="K12:K13"/>
    <x:mergeCell ref="J12:J13"/>
    <x:mergeCell ref="K14:K15"/>
    <x:mergeCell ref="J14:J15"/>
    <x:mergeCell ref="K16:K17"/>
    <x:mergeCell ref="J16:J17"/>
    <x:mergeCell ref="K18:K19"/>
    <x:mergeCell ref="J18:J19"/>
    <x:mergeCell ref="K20:K21"/>
    <x:mergeCell ref="J20:J21"/>
    <x:mergeCell ref="K22:K23"/>
    <x:mergeCell ref="J22:J23"/>
    <x:mergeCell ref="K24:K25"/>
    <x:mergeCell ref="J24:J25"/>
    <x:mergeCell ref="K26:K27"/>
    <x:mergeCell ref="J26:J27"/>
    <x:mergeCell ref="K28:K29"/>
    <x:mergeCell ref="J28:J29"/>
    <x:mergeCell ref="K30:K31"/>
    <x:mergeCell ref="J30:J31"/>
    <x:mergeCell ref="K32:K33"/>
    <x:mergeCell ref="J32:J33"/>
    <x:mergeCell ref="K34:K35"/>
    <x:mergeCell ref="J34:J35"/>
    <x:mergeCell ref="K36:K37"/>
    <x:mergeCell ref="J36:J37"/>
    <x:mergeCell ref="K38:K39"/>
    <x:mergeCell ref="J38:J39"/>
    <x:mergeCell ref="K40:K41"/>
    <x:mergeCell ref="J40:J41"/>
    <x:mergeCell ref="K42:K43"/>
    <x:mergeCell ref="J42:J43"/>
    <x:mergeCell ref="K44:K45"/>
    <x:mergeCell ref="J44:J45"/>
    <x:mergeCell ref="K46:K47"/>
    <x:mergeCell ref="J46:J47"/>
    <x:mergeCell ref="K48:K49"/>
    <x:mergeCell ref="J48:J49"/>
    <x:mergeCell ref="K50:K51"/>
    <x:mergeCell ref="J50:J51"/>
  </x:mergeCells>
  <x:pageMargins left="0.7" right="0.7" top="0.75" bottom="0.75" header="0.3" footer="0.3"/>
  <x:drawing xmlns:r="http://schemas.openxmlformats.org/officeDocument/2006/relationships" r:id="Rdc1f64df16ba485e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1">
      <x:c r="A1" s="33"/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33"/>
      <x:c r="B3" s="33"/>
      <x:c r="C3" s="33"/>
      <x:c r="D3" s="170" t="str">
        <x:v>오리지날  OVEN=185℃ / 실험기록</x:v>
      </x:c>
      <x:c r="E3" s="171"/>
      <x:c r="F3" s="171"/>
      <x:c r="G3" s="171"/>
      <x:c r="H3" s="171"/>
      <x:c r="I3" s="171"/>
      <x:c r="J3" s="171"/>
      <x:c r="K3" s="171"/>
      <x:c r="L3" s="171"/>
      <x:c r="M3" s="171"/>
      <x:c r="N3" s="171"/>
      <x:c r="O3" s="171"/>
      <x:c r="P3" s="172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33"/>
      <x:c r="B4" s="33"/>
      <x:c r="C4" s="33"/>
      <x:c r="D4" s="173"/>
      <x:c r="E4" s="174"/>
      <x:c r="F4" s="174"/>
      <x:c r="G4" s="174"/>
      <x:c r="H4" s="174"/>
      <x:c r="I4" s="174"/>
      <x:c r="J4" s="174"/>
      <x:c r="K4" s="174"/>
      <x:c r="L4" s="174"/>
      <x:c r="M4" s="174"/>
      <x:c r="N4" s="174"/>
      <x:c r="O4" s="174"/>
      <x:c r="P4" s="175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3"/>
      <x:c r="B6" s="33"/>
      <x:c r="C6" s="33"/>
      <x:c r="D6" s="29" t="str">
        <x:v>batch</x:v>
      </x:c>
      <x:c r="E6" s="30" t="str">
        <x:v>오-185-A</x:v>
      </x:c>
      <x:c r="F6" s="30" t="str">
        <x:v>fan</x:v>
      </x:c>
      <x:c r="G6" s="30" t="str">
        <x:v>약풍</x:v>
      </x:c>
      <x:c r="H6" s="31" t="str">
        <x:v>memo</x:v>
      </x:c>
      <x:c r="I6" s="33"/>
      <x:c r="J6" s="58" t="str">
        <x:v>Time</x:v>
      </x:c>
      <x:c r="K6" s="59" t="str">
        <x:v>Add-in</x:v>
      </x:c>
      <x:c r="L6" s="59" t="str">
        <x:v>rep</x:v>
      </x:c>
      <x:c r="M6" s="59" t="str">
        <x:v>core T</x:v>
      </x:c>
      <x:c r="N6" s="59" t="str">
        <x:v>rise</x:v>
      </x:c>
      <x:c r="O6" s="59" t="str">
        <x:v>surface</x:v>
      </x:c>
      <x:c r="P6" s="59" t="str">
        <x:v>crack</x:v>
      </x:c>
      <x:c r="Q6" s="59" t="str">
        <x:v>moist</x:v>
      </x:c>
      <x:c r="R6" s="59" t="str">
        <x:v>loss</x:v>
      </x:c>
      <x:c r="S6" s="60" t="str">
        <x:v>memo</x:v>
      </x:c>
      <x:c r="T6" s="33"/>
      <x:c r="U6" s="33"/>
      <x:c r="V6" s="33"/>
      <x:c r="W6" s="33"/>
      <x:c r="X6" s="33"/>
      <x:c r="Y6" s="33"/>
      <x:c r="Z6" s="33"/>
    </x:row>
    <x:row r="7">
      <x:c r="A7" s="33"/>
      <x:c r="B7" s="33"/>
      <x:c r="C7" s="33"/>
      <x:c r="D7" s="32" t="str">
        <x:v>실내</x:v>
      </x:c>
      <x:c r="E7" s="33" t="str">
        <x:v>26℃</x:v>
      </x:c>
      <x:c r="F7" s="33" t="str">
        <x:v>반죽숙성</x:v>
      </x:c>
      <x:c r="G7" s="33" t="str">
        <x:v>8h</x:v>
      </x:c>
      <x:c r="H7" s="34" t="str">
        <x:v>수기</x:v>
      </x:c>
      <x:c r="I7" s="33"/>
      <x:c r="J7" s="212" t="str">
        <x:v>min</x:v>
      </x:c>
      <x:c r="K7" s="213" t="str">
        <x:v>조건</x:v>
      </x:c>
      <x:c r="L7" s="213" t="str">
        <x:v>#</x:v>
      </x:c>
      <x:c r="M7" s="213" t="str">
        <x:v>℃</x:v>
      </x:c>
      <x:c r="N7" s="213" t="str">
        <x:v>mm</x:v>
      </x:c>
      <x:c r="O7" s="213" t="str">
        <x:v>visual</x:v>
      </x:c>
      <x:c r="P7" s="213" t="str">
        <x:v>Y/N</x:v>
      </x:c>
      <x:c r="Q7" s="213" t="str">
        <x:v>1~5</x:v>
      </x:c>
      <x:c r="R7" s="213" t="str">
        <x:v>%</x:v>
      </x:c>
      <x:c r="S7" s="214" t="str"/>
      <x:c r="T7" s="33"/>
      <x:c r="U7" s="33"/>
      <x:c r="V7" s="33"/>
      <x:c r="W7" s="33"/>
      <x:c r="X7" s="33"/>
      <x:c r="Y7" s="33"/>
      <x:c r="Z7" s="33"/>
    </x:row>
    <x:row r="8">
      <x:c r="A8" s="33"/>
      <x:c r="B8" s="33"/>
      <x:c r="C8" s="33"/>
      <x:c r="D8" s="32" t="str">
        <x:v>몰드</x:v>
      </x:c>
      <x:c r="E8" s="33" t="str">
        <x:v>12구</x:v>
      </x:c>
      <x:c r="F8" s="33" t="str">
        <x:v>probe</x:v>
      </x:c>
      <x:c r="G8" s="33" t="str">
        <x:v>center</x:v>
      </x:c>
      <x:c r="H8" s="34" t="str">
        <x:v>K-type</x:v>
      </x:c>
      <x:c r="I8" s="33"/>
      <x:c r="J8" s="29" t="n">
        <x:v>0</x:v>
      </x:c>
      <x:c r="K8" s="30" t="str">
        <x:v>기본</x:v>
      </x:c>
      <x:c r="L8" s="30" t="n">
        <x:v>1</x:v>
      </x:c>
      <x:c r="M8" s="235" t="n">
        <x:v>25.7</x:v>
      </x:c>
      <x:c r="N8" s="235" t="n">
        <x:v>1.9</x:v>
      </x:c>
      <x:c r="O8" s="30" t="str">
        <x:v>brown</x:v>
      </x:c>
      <x:c r="P8" s="30" t="str">
        <x:v>Y</x:v>
      </x:c>
      <x:c r="Q8" s="30" t="n">
        <x:v>4.7</x:v>
      </x:c>
      <x:c r="R8" s="30" t="n">
        <x:v>0.1</x:v>
      </x:c>
      <x:c r="S8" s="31" t="str">
        <x:v>edge↑</x:v>
      </x:c>
      <x:c r="T8" s="33"/>
      <x:c r="U8" s="33"/>
      <x:c r="V8" s="33"/>
      <x:c r="W8" s="33"/>
      <x:c r="X8" s="33"/>
      <x:c r="Y8" s="33"/>
      <x:c r="Z8" s="33"/>
    </x:row>
    <x:row r="9">
      <x:c r="A9" s="33"/>
      <x:c r="B9" s="33"/>
      <x:c r="C9" s="33"/>
      <x:c r="D9" s="32" t="str">
        <x:v>note</x:v>
      </x:c>
      <x:c r="E9" s="33" t="str">
        <x:v>같은 시간 여러 부재료는 merge</x:v>
      </x:c>
      <x:c r="F9" s="33" t="str"/>
      <x:c r="G9" s="33" t="str"/>
      <x:c r="H9" s="34" t="str"/>
      <x:c r="I9" s="33"/>
      <x:c r="J9" s="32" t="n">
        <x:v>0</x:v>
      </x:c>
      <x:c r="K9" s="33" t="str">
        <x:v>기본</x:v>
      </x:c>
      <x:c r="L9" s="33" t="n">
        <x:v>2</x:v>
      </x:c>
      <x:c r="M9" s="236" t="n">
        <x:v>26.5</x:v>
      </x:c>
      <x:c r="N9" s="236" t="n">
        <x:v>1.7</x:v>
      </x:c>
      <x:c r="O9" s="33" t="str">
        <x:v>pale</x:v>
      </x:c>
      <x:c r="P9" s="33" t="str">
        <x:v>N</x:v>
      </x:c>
      <x:c r="Q9" s="33" t="n">
        <x:v>2.9</x:v>
      </x:c>
      <x:c r="R9" s="33" t="n">
        <x:v>0.3</x:v>
      </x:c>
      <x:c r="S9" s="34" t="str">
        <x:v>dome good</x:v>
      </x:c>
      <x:c r="T9" s="33"/>
      <x:c r="U9" s="33"/>
      <x:c r="V9" s="33"/>
      <x:c r="W9" s="33"/>
      <x:c r="X9" s="33"/>
      <x:c r="Y9" s="33"/>
      <x:c r="Z9" s="33"/>
    </x:row>
    <x:row r="10">
      <x:c r="A10" s="33"/>
      <x:c r="B10" s="33"/>
      <x:c r="C10" s="33"/>
      <x:c r="D10" s="35" t="str">
        <x:v>operator</x:v>
      </x:c>
      <x:c r="E10" s="36" t="str">
        <x:v>JH</x:v>
      </x:c>
      <x:c r="F10" s="36" t="str">
        <x:v>n</x:v>
      </x:c>
      <x:c r="G10" s="36" t="str">
        <x:v>2</x:v>
      </x:c>
      <x:c r="H10" s="37" t="str"/>
      <x:c r="I10" s="33"/>
      <x:c r="J10" s="32" t="n">
        <x:v>0</x:v>
      </x:c>
      <x:c r="K10" s="33" t="str">
        <x:v>아몬드T</x:v>
      </x:c>
      <x:c r="L10" s="33" t="n">
        <x:v>1</x:v>
      </x:c>
      <x:c r="M10" s="236" t="n">
        <x:v>26.3</x:v>
      </x:c>
      <x:c r="N10" s="236" t="n">
        <x:v>2.3</x:v>
      </x:c>
      <x:c r="O10" s="33" t="str">
        <x:v>pale</x:v>
      </x:c>
      <x:c r="P10" s="33" t="str">
        <x:v>N</x:v>
      </x:c>
      <x:c r="Q10" s="33" t="n">
        <x:v>4.3</x:v>
      </x:c>
      <x:c r="R10" s="33" t="n">
        <x:v>0.4</x:v>
      </x:c>
      <x:c r="S10" s="34" t="str">
        <x:v>사진</x:v>
      </x:c>
      <x:c r="T10" s="33"/>
      <x:c r="U10" s="33"/>
      <x:c r="V10" s="33"/>
      <x:c r="W10" s="33"/>
      <x:c r="X10" s="33"/>
      <x:c r="Y10" s="33"/>
      <x:c r="Z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2" t="n">
        <x:v>0</x:v>
      </x:c>
      <x:c r="K11" s="33" t="str">
        <x:v>아몬드T</x:v>
      </x:c>
      <x:c r="L11" s="33" t="n">
        <x:v>2</x:v>
      </x:c>
      <x:c r="M11" s="236" t="n">
        <x:v>27.6</x:v>
      </x:c>
      <x:c r="N11" s="236" t="n">
        <x:v>2.2</x:v>
      </x:c>
      <x:c r="O11" s="33" t="str">
        <x:v>brown</x:v>
      </x:c>
      <x:c r="P11" s="33" t="str">
        <x:v>N</x:v>
      </x:c>
      <x:c r="Q11" s="33" t="n">
        <x:v>3.8</x:v>
      </x:c>
      <x:c r="R11" s="33" t="n">
        <x:v>0</x:v>
      </x:c>
      <x:c r="S11" s="34" t="str">
        <x:v>dome good</x:v>
      </x:c>
      <x:c r="T11" s="33"/>
      <x:c r="U11" s="33"/>
      <x:c r="V11" s="33"/>
      <x:c r="W11" s="33"/>
      <x:c r="X11" s="33"/>
      <x:c r="Y11" s="33"/>
      <x:c r="Z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2" t="n">
        <x:v>3</x:v>
      </x:c>
      <x:c r="K12" s="33" t="str">
        <x:v>기본</x:v>
      </x:c>
      <x:c r="L12" s="33" t="n">
        <x:v>1</x:v>
      </x:c>
      <x:c r="M12" s="236" t="n">
        <x:v>37.5</x:v>
      </x:c>
      <x:c r="N12" s="236" t="n">
        <x:v>2.9</x:v>
      </x:c>
      <x:c r="O12" s="33" t="str">
        <x:v>brown</x:v>
      </x:c>
      <x:c r="P12" s="33" t="str">
        <x:v>Y</x:v>
      </x:c>
      <x:c r="Q12" s="33" t="n">
        <x:v>4.4</x:v>
      </x:c>
      <x:c r="R12" s="33" t="n">
        <x:v>2.1</x:v>
      </x:c>
      <x:c r="S12" s="34" t="str">
        <x:v>edge↑</x:v>
      </x:c>
      <x:c r="T12" s="33"/>
      <x:c r="U12" s="33"/>
      <x:c r="V12" s="33"/>
      <x:c r="W12" s="33"/>
      <x:c r="X12" s="33"/>
      <x:c r="Y12" s="33"/>
      <x:c r="Z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2" t="n">
        <x:v>3</x:v>
      </x:c>
      <x:c r="K13" s="33" t="str">
        <x:v>기본</x:v>
      </x:c>
      <x:c r="L13" s="33" t="n">
        <x:v>2</x:v>
      </x:c>
      <x:c r="M13" s="236" t="n">
        <x:v>37.8</x:v>
      </x:c>
      <x:c r="N13" s="236" t="n">
        <x:v>2.9</x:v>
      </x:c>
      <x:c r="O13" s="33" t="str">
        <x:v>gold</x:v>
      </x:c>
      <x:c r="P13" s="33" t="str">
        <x:v>N</x:v>
      </x:c>
      <x:c r="Q13" s="33" t="n">
        <x:v>4.2</x:v>
      </x:c>
      <x:c r="R13" s="33" t="n">
        <x:v>1.5</x:v>
      </x:c>
      <x:c r="S13" s="34" t="str">
        <x:v>dome good</x:v>
      </x:c>
      <x:c r="T13" s="33"/>
      <x:c r="U13" s="33"/>
      <x:c r="V13" s="33"/>
      <x:c r="W13" s="33"/>
      <x:c r="X13" s="33"/>
      <x:c r="Y13" s="33"/>
      <x:c r="Z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2" t="n">
        <x:v>3</x:v>
      </x:c>
      <x:c r="K14" s="33" t="str">
        <x:v>슈가coat</x:v>
      </x:c>
      <x:c r="L14" s="33" t="n">
        <x:v>1</x:v>
      </x:c>
      <x:c r="M14" s="236" t="n">
        <x:v>37.4</x:v>
      </x:c>
      <x:c r="N14" s="236" t="n">
        <x:v>3.4</x:v>
      </x:c>
      <x:c r="O14" s="33" t="str">
        <x:v>pale</x:v>
      </x:c>
      <x:c r="P14" s="33" t="str">
        <x:v>N</x:v>
      </x:c>
      <x:c r="Q14" s="33" t="n">
        <x:v>5</x:v>
      </x:c>
      <x:c r="R14" s="33" t="n">
        <x:v>1.9</x:v>
      </x:c>
      <x:c r="S14" s="34" t="str">
        <x:v>사진</x:v>
      </x:c>
      <x:c r="T14" s="33"/>
      <x:c r="U14" s="33"/>
      <x:c r="V14" s="33"/>
      <x:c r="W14" s="33"/>
      <x:c r="X14" s="33"/>
      <x:c r="Y14" s="33"/>
      <x:c r="Z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2" t="n">
        <x:v>3</x:v>
      </x:c>
      <x:c r="K15" s="33" t="str">
        <x:v>슈가coat</x:v>
      </x:c>
      <x:c r="L15" s="33" t="n">
        <x:v>2</x:v>
      </x:c>
      <x:c r="M15" s="236" t="n">
        <x:v>38.2</x:v>
      </x:c>
      <x:c r="N15" s="236" t="n">
        <x:v>3.5</x:v>
      </x:c>
      <x:c r="O15" s="33" t="str">
        <x:v>gold</x:v>
      </x:c>
      <x:c r="P15" s="33" t="str">
        <x:v>N</x:v>
      </x:c>
      <x:c r="Q15" s="33" t="n">
        <x:v>2.8</x:v>
      </x:c>
      <x:c r="R15" s="33" t="n">
        <x:v>1.8</x:v>
      </x:c>
      <x:c r="S15" s="34" t="str">
        <x:v>-</x:v>
      </x:c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2" t="n">
        <x:v>6</x:v>
      </x:c>
      <x:c r="K16" s="33" t="str">
        <x:v>기본</x:v>
      </x:c>
      <x:c r="L16" s="33" t="n">
        <x:v>1</x:v>
      </x:c>
      <x:c r="M16" s="236" t="n">
        <x:v>47.5</x:v>
      </x:c>
      <x:c r="N16" s="236" t="n">
        <x:v>4.6</x:v>
      </x:c>
      <x:c r="O16" s="33" t="str">
        <x:v>gold</x:v>
      </x:c>
      <x:c r="P16" s="33" t="str">
        <x:v>Y</x:v>
      </x:c>
      <x:c r="Q16" s="33" t="n">
        <x:v>4</x:v>
      </x:c>
      <x:c r="R16" s="33" t="n">
        <x:v>3</x:v>
      </x:c>
      <x:c r="S16" s="34" t="str">
        <x:v>edge↑</x:v>
      </x:c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2" t="n">
        <x:v>6</x:v>
      </x:c>
      <x:c r="K17" s="33" t="str">
        <x:v>기본</x:v>
      </x:c>
      <x:c r="L17" s="33" t="n">
        <x:v>2</x:v>
      </x:c>
      <x:c r="M17" s="236" t="n">
        <x:v>48.1</x:v>
      </x:c>
      <x:c r="N17" s="236" t="n">
        <x:v>4.6</x:v>
      </x:c>
      <x:c r="O17" s="33" t="str">
        <x:v>dark edge</x:v>
      </x:c>
      <x:c r="P17" s="33" t="str">
        <x:v>N</x:v>
      </x:c>
      <x:c r="Q17" s="33" t="n">
        <x:v>5</x:v>
      </x:c>
      <x:c r="R17" s="33" t="n">
        <x:v>3.6</x:v>
      </x:c>
      <x:c r="S17" s="34" t="str">
        <x:v>-</x:v>
      </x:c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2" t="n">
        <x:v>6</x:v>
      </x:c>
      <x:c r="K18" s="33" t="str">
        <x:v>럼</x:v>
      </x:c>
      <x:c r="L18" s="33" t="n">
        <x:v>1</x:v>
      </x:c>
      <x:c r="M18" s="236" t="n">
        <x:v>48.8</x:v>
      </x:c>
      <x:c r="N18" s="236" t="n">
        <x:v>4.4</x:v>
      </x:c>
      <x:c r="O18" s="33" t="str">
        <x:v>dark edge</x:v>
      </x:c>
      <x:c r="P18" s="33" t="str">
        <x:v>N</x:v>
      </x:c>
      <x:c r="Q18" s="33" t="n">
        <x:v>3.7</x:v>
      </x:c>
      <x:c r="R18" s="33" t="n">
        <x:v>3.6</x:v>
      </x:c>
      <x:c r="S18" s="34" t="str">
        <x:v>사진</x:v>
      </x:c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2" t="n">
        <x:v>6</x:v>
      </x:c>
      <x:c r="K19" s="33" t="str">
        <x:v>럼</x:v>
      </x:c>
      <x:c r="L19" s="33" t="n">
        <x:v>2</x:v>
      </x:c>
      <x:c r="M19" s="236" t="n">
        <x:v>48.2</x:v>
      </x:c>
      <x:c r="N19" s="236" t="n">
        <x:v>4.6</x:v>
      </x:c>
      <x:c r="O19" s="33" t="str">
        <x:v>gold</x:v>
      </x:c>
      <x:c r="P19" s="33" t="str">
        <x:v>N</x:v>
      </x:c>
      <x:c r="Q19" s="33" t="n">
        <x:v>3</x:v>
      </x:c>
      <x:c r="R19" s="33" t="n">
        <x:v>3.5</x:v>
      </x:c>
      <x:c r="S19" s="34" t="str">
        <x:v>dome good</x:v>
      </x:c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2" t="n">
        <x:v>6</x:v>
      </x:c>
      <x:c r="K20" s="33" t="str">
        <x:v>슈가coat</x:v>
      </x:c>
      <x:c r="L20" s="33" t="n">
        <x:v>1</x:v>
      </x:c>
      <x:c r="M20" s="236" t="n">
        <x:v>49</x:v>
      </x:c>
      <x:c r="N20" s="236" t="n">
        <x:v>5</x:v>
      </x:c>
      <x:c r="O20" s="33" t="str">
        <x:v>pale</x:v>
      </x:c>
      <x:c r="P20" s="33" t="str">
        <x:v>N</x:v>
      </x:c>
      <x:c r="Q20" s="33" t="n">
        <x:v>3.5</x:v>
      </x:c>
      <x:c r="R20" s="33" t="n">
        <x:v>3.4</x:v>
      </x:c>
      <x:c r="S20" s="34" t="str">
        <x:v>사진</x:v>
      </x:c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2" t="n">
        <x:v>6</x:v>
      </x:c>
      <x:c r="K21" s="33" t="str">
        <x:v>슈가coat</x:v>
      </x:c>
      <x:c r="L21" s="33" t="n">
        <x:v>2</x:v>
      </x:c>
      <x:c r="M21" s="236" t="n">
        <x:v>48.6</x:v>
      </x:c>
      <x:c r="N21" s="236" t="n">
        <x:v>5.1</x:v>
      </x:c>
      <x:c r="O21" s="33" t="str">
        <x:v>pale</x:v>
      </x:c>
      <x:c r="P21" s="33" t="str">
        <x:v>Y</x:v>
      </x:c>
      <x:c r="Q21" s="33" t="n">
        <x:v>4</x:v>
      </x:c>
      <x:c r="R21" s="33" t="n">
        <x:v>3.4</x:v>
      </x:c>
      <x:c r="S21" s="34" t="str">
        <x:v>-</x:v>
      </x:c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2" t="n">
        <x:v>6</x:v>
      </x:c>
      <x:c r="K22" s="33" t="str">
        <x:v>아몬드T</x:v>
      </x:c>
      <x:c r="L22" s="33" t="n">
        <x:v>1</x:v>
      </x:c>
      <x:c r="M22" s="236" t="n">
        <x:v>48.7</x:v>
      </x:c>
      <x:c r="N22" s="236" t="n">
        <x:v>5.6</x:v>
      </x:c>
      <x:c r="O22" s="33" t="str">
        <x:v>dark edge</x:v>
      </x:c>
      <x:c r="P22" s="33" t="str">
        <x:v>Y</x:v>
      </x:c>
      <x:c r="Q22" s="33" t="n">
        <x:v>4.1</x:v>
      </x:c>
      <x:c r="R22" s="33" t="n">
        <x:v>3</x:v>
      </x:c>
      <x:c r="S22" s="34" t="str">
        <x:v>사진</x:v>
      </x:c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2" t="n">
        <x:v>6</x:v>
      </x:c>
      <x:c r="K23" s="33" t="str">
        <x:v>아몬드T</x:v>
      </x:c>
      <x:c r="L23" s="33" t="n">
        <x:v>2</x:v>
      </x:c>
      <x:c r="M23" s="236" t="n">
        <x:v>49.6</x:v>
      </x:c>
      <x:c r="N23" s="236" t="n">
        <x:v>5.4</x:v>
      </x:c>
      <x:c r="O23" s="33" t="str">
        <x:v>dark edge</x:v>
      </x:c>
      <x:c r="P23" s="33" t="str">
        <x:v>N</x:v>
      </x:c>
      <x:c r="Q23" s="33" t="n">
        <x:v>4.4</x:v>
      </x:c>
      <x:c r="R23" s="33" t="n">
        <x:v>3.2</x:v>
      </x:c>
      <x:c r="S23" s="34" t="str">
        <x:v>edge↑</x:v>
      </x:c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2" t="n">
        <x:v>9</x:v>
      </x:c>
      <x:c r="K24" s="33" t="str">
        <x:v>기본</x:v>
      </x:c>
      <x:c r="L24" s="33" t="n">
        <x:v>1</x:v>
      </x:c>
      <x:c r="M24" s="236" t="n">
        <x:v>58.5</x:v>
      </x:c>
      <x:c r="N24" s="236" t="n">
        <x:v>5.7</x:v>
      </x:c>
      <x:c r="O24" s="33" t="str">
        <x:v>gold</x:v>
      </x:c>
      <x:c r="P24" s="33" t="str">
        <x:v>N</x:v>
      </x:c>
      <x:c r="Q24" s="33" t="n">
        <x:v>4.5</x:v>
      </x:c>
      <x:c r="R24" s="33" t="n">
        <x:v>4.9</x:v>
      </x:c>
      <x:c r="S24" s="34" t="str">
        <x:v>-</x:v>
      </x:c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2" t="n">
        <x:v>9</x:v>
      </x:c>
      <x:c r="K25" s="33" t="str">
        <x:v>기본</x:v>
      </x:c>
      <x:c r="L25" s="33" t="n">
        <x:v>2</x:v>
      </x:c>
      <x:c r="M25" s="236" t="n">
        <x:v>58.6</x:v>
      </x:c>
      <x:c r="N25" s="236" t="n">
        <x:v>5.4</x:v>
      </x:c>
      <x:c r="O25" s="33" t="str">
        <x:v>pale</x:v>
      </x:c>
      <x:c r="P25" s="33" t="str">
        <x:v>Y</x:v>
      </x:c>
      <x:c r="Q25" s="33" t="n">
        <x:v>2.8</x:v>
      </x:c>
      <x:c r="R25" s="33" t="n">
        <x:v>4.9</x:v>
      </x:c>
      <x:c r="S25" s="34" t="str">
        <x:v>edge↑</x:v>
      </x:c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2" t="n">
        <x:v>9</x:v>
      </x:c>
      <x:c r="K26" s="33" t="str">
        <x:v>아몬드T</x:v>
      </x:c>
      <x:c r="L26" s="33" t="n">
        <x:v>1</x:v>
      </x:c>
      <x:c r="M26" s="236" t="n">
        <x:v>58.3</x:v>
      </x:c>
      <x:c r="N26" s="236" t="n">
        <x:v>6</x:v>
      </x:c>
      <x:c r="O26" s="33" t="str">
        <x:v>gold</x:v>
      </x:c>
      <x:c r="P26" s="33" t="str">
        <x:v>N</x:v>
      </x:c>
      <x:c r="Q26" s="33" t="n">
        <x:v>2.5</x:v>
      </x:c>
      <x:c r="R26" s="33" t="n">
        <x:v>4.9</x:v>
      </x:c>
      <x:c r="S26" s="34" t="str">
        <x:v>edge↑</x:v>
      </x:c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2" t="n">
        <x:v>9</x:v>
      </x:c>
      <x:c r="K27" s="33" t="str">
        <x:v>아몬드T</x:v>
      </x:c>
      <x:c r="L27" s="33" t="n">
        <x:v>2</x:v>
      </x:c>
      <x:c r="M27" s="236" t="n">
        <x:v>59.7</x:v>
      </x:c>
      <x:c r="N27" s="236" t="n">
        <x:v>6</x:v>
      </x:c>
      <x:c r="O27" s="33" t="str">
        <x:v>dark edge</x:v>
      </x:c>
      <x:c r="P27" s="33" t="str">
        <x:v>N</x:v>
      </x:c>
      <x:c r="Q27" s="33" t="n">
        <x:v>4.4</x:v>
      </x:c>
      <x:c r="R27" s="33" t="n">
        <x:v>4.7</x:v>
      </x:c>
      <x:c r="S27" s="34" t="str">
        <x:v>-</x:v>
      </x:c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2" t="n">
        <x:v>12</x:v>
      </x:c>
      <x:c r="K28" s="33" t="str">
        <x:v>기본</x:v>
      </x:c>
      <x:c r="L28" s="33" t="n">
        <x:v>1</x:v>
      </x:c>
      <x:c r="M28" s="236" t="n">
        <x:v>69.1</x:v>
      </x:c>
      <x:c r="N28" s="236" t="n">
        <x:v>7.1</x:v>
      </x:c>
      <x:c r="O28" s="33" t="str">
        <x:v>brown</x:v>
      </x:c>
      <x:c r="P28" s="33" t="str">
        <x:v>Y</x:v>
      </x:c>
      <x:c r="Q28" s="33" t="n">
        <x:v>2.7</x:v>
      </x:c>
      <x:c r="R28" s="33" t="n">
        <x:v>6.5</x:v>
      </x:c>
      <x:c r="S28" s="34" t="str">
        <x:v>dome good</x:v>
      </x:c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2" t="n">
        <x:v>12</x:v>
      </x:c>
      <x:c r="K29" s="33" t="str">
        <x:v>기본</x:v>
      </x:c>
      <x:c r="L29" s="33" t="n">
        <x:v>2</x:v>
      </x:c>
      <x:c r="M29" s="236" t="n">
        <x:v>69</x:v>
      </x:c>
      <x:c r="N29" s="236" t="n">
        <x:v>7.3</x:v>
      </x:c>
      <x:c r="O29" s="33" t="str">
        <x:v>pale</x:v>
      </x:c>
      <x:c r="P29" s="33" t="str">
        <x:v>N</x:v>
      </x:c>
      <x:c r="Q29" s="33" t="n">
        <x:v>3</x:v>
      </x:c>
      <x:c r="R29" s="33" t="n">
        <x:v>6.2</x:v>
      </x:c>
      <x:c r="S29" s="34" t="str">
        <x:v>edge↑</x:v>
      </x:c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2" t="n">
        <x:v>12</x:v>
      </x:c>
      <x:c r="K30" s="33" t="str">
        <x:v>럼</x:v>
      </x:c>
      <x:c r="L30" s="33" t="n">
        <x:v>1</x:v>
      </x:c>
      <x:c r="M30" s="236" t="n">
        <x:v>69</x:v>
      </x:c>
      <x:c r="N30" s="236" t="n">
        <x:v>7.3</x:v>
      </x:c>
      <x:c r="O30" s="33" t="str">
        <x:v>brown</x:v>
      </x:c>
      <x:c r="P30" s="33" t="str">
        <x:v>Y</x:v>
      </x:c>
      <x:c r="Q30" s="33" t="n">
        <x:v>4.2</x:v>
      </x:c>
      <x:c r="R30" s="33" t="n">
        <x:v>6.3</x:v>
      </x:c>
      <x:c r="S30" s="34" t="str">
        <x:v>-</x:v>
      </x:c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2" t="n">
        <x:v>12</x:v>
      </x:c>
      <x:c r="K31" s="33" t="str">
        <x:v>럼</x:v>
      </x:c>
      <x:c r="L31" s="33" t="n">
        <x:v>2</x:v>
      </x:c>
      <x:c r="M31" s="236" t="n">
        <x:v>69.8</x:v>
      </x:c>
      <x:c r="N31" s="236" t="n">
        <x:v>7.4</x:v>
      </x:c>
      <x:c r="O31" s="33" t="str">
        <x:v>brown</x:v>
      </x:c>
      <x:c r="P31" s="33" t="str">
        <x:v>N</x:v>
      </x:c>
      <x:c r="Q31" s="33" t="n">
        <x:v>2.8</x:v>
      </x:c>
      <x:c r="R31" s="33" t="n">
        <x:v>6.8</x:v>
      </x:c>
      <x:c r="S31" s="34" t="str">
        <x:v>-</x:v>
      </x:c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2" t="n">
        <x:v>12</x:v>
      </x:c>
      <x:c r="K32" s="33" t="str">
        <x:v>슈가coat</x:v>
      </x:c>
      <x:c r="L32" s="33" t="n">
        <x:v>1</x:v>
      </x:c>
      <x:c r="M32" s="236" t="n">
        <x:v>69.9</x:v>
      </x:c>
      <x:c r="N32" s="236" t="n">
        <x:v>7.7</x:v>
      </x:c>
      <x:c r="O32" s="33" t="str">
        <x:v>pale</x:v>
      </x:c>
      <x:c r="P32" s="33" t="str">
        <x:v>N</x:v>
      </x:c>
      <x:c r="Q32" s="33" t="n">
        <x:v>3.9</x:v>
      </x:c>
      <x:c r="R32" s="33" t="n">
        <x:v>6.7</x:v>
      </x:c>
      <x:c r="S32" s="34" t="str">
        <x:v>사진</x:v>
      </x:c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2" t="n">
        <x:v>12</x:v>
      </x:c>
      <x:c r="K33" s="33" t="str">
        <x:v>슈가coat</x:v>
      </x:c>
      <x:c r="L33" s="33" t="n">
        <x:v>2</x:v>
      </x:c>
      <x:c r="M33" s="236" t="n">
        <x:v>71</x:v>
      </x:c>
      <x:c r="N33" s="236" t="n">
        <x:v>7.8</x:v>
      </x:c>
      <x:c r="O33" s="33" t="str">
        <x:v>gold</x:v>
      </x:c>
      <x:c r="P33" s="33" t="str">
        <x:v>N</x:v>
      </x:c>
      <x:c r="Q33" s="33" t="n">
        <x:v>3.4</x:v>
      </x:c>
      <x:c r="R33" s="33" t="n">
        <x:v>6.2</x:v>
      </x:c>
      <x:c r="S33" s="34" t="str">
        <x:v>-</x:v>
      </x:c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2" t="n">
        <x:v>12</x:v>
      </x:c>
      <x:c r="K34" s="33" t="str">
        <x:v>아몬드T</x:v>
      </x:c>
      <x:c r="L34" s="33" t="n">
        <x:v>1</x:v>
      </x:c>
      <x:c r="M34" s="236" t="n">
        <x:v>70.9</x:v>
      </x:c>
      <x:c r="N34" s="236" t="n">
        <x:v>8.2</x:v>
      </x:c>
      <x:c r="O34" s="33" t="str">
        <x:v>gold</x:v>
      </x:c>
      <x:c r="P34" s="33" t="str">
        <x:v>N</x:v>
      </x:c>
      <x:c r="Q34" s="33" t="n">
        <x:v>4.1</x:v>
      </x:c>
      <x:c r="R34" s="33" t="n">
        <x:v>6.7</x:v>
      </x:c>
      <x:c r="S34" s="34" t="str">
        <x:v>사진</x:v>
      </x:c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2" t="n">
        <x:v>12</x:v>
      </x:c>
      <x:c r="K35" s="33" t="str">
        <x:v>아몬드T</x:v>
      </x:c>
      <x:c r="L35" s="33" t="n">
        <x:v>2</x:v>
      </x:c>
      <x:c r="M35" s="236" t="n">
        <x:v>71</x:v>
      </x:c>
      <x:c r="N35" s="236" t="n">
        <x:v>8</x:v>
      </x:c>
      <x:c r="O35" s="33" t="str">
        <x:v>brown</x:v>
      </x:c>
      <x:c r="P35" s="33" t="str">
        <x:v>Y</x:v>
      </x:c>
      <x:c r="Q35" s="33" t="n">
        <x:v>3.6</x:v>
      </x:c>
      <x:c r="R35" s="33" t="n">
        <x:v>6.7</x:v>
      </x:c>
      <x:c r="S35" s="34" t="str">
        <x:v>dome good</x:v>
      </x:c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2" t="n">
        <x:v>15</x:v>
      </x:c>
      <x:c r="K36" s="33" t="str">
        <x:v>기본</x:v>
      </x:c>
      <x:c r="L36" s="33" t="n">
        <x:v>1</x:v>
      </x:c>
      <x:c r="M36" s="236" t="n">
        <x:v>79.2</x:v>
      </x:c>
      <x:c r="N36" s="236" t="n">
        <x:v>8.6</x:v>
      </x:c>
      <x:c r="O36" s="33" t="str">
        <x:v>brown</x:v>
      </x:c>
      <x:c r="P36" s="33" t="str">
        <x:v>N</x:v>
      </x:c>
      <x:c r="Q36" s="33" t="n">
        <x:v>3.9</x:v>
      </x:c>
      <x:c r="R36" s="33" t="n">
        <x:v>7.9</x:v>
      </x:c>
      <x:c r="S36" s="34" t="str">
        <x:v>dome good</x:v>
      </x:c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2" t="n">
        <x:v>15</x:v>
      </x:c>
      <x:c r="K37" s="33" t="str">
        <x:v>기본</x:v>
      </x:c>
      <x:c r="L37" s="33" t="n">
        <x:v>2</x:v>
      </x:c>
      <x:c r="M37" s="236" t="n">
        <x:v>79.7</x:v>
      </x:c>
      <x:c r="N37" s="236" t="n">
        <x:v>8.6</x:v>
      </x:c>
      <x:c r="O37" s="33" t="str">
        <x:v>dark edge</x:v>
      </x:c>
      <x:c r="P37" s="33" t="str">
        <x:v>Y</x:v>
      </x:c>
      <x:c r="Q37" s="33" t="n">
        <x:v>4.1</x:v>
      </x:c>
      <x:c r="R37" s="33" t="n">
        <x:v>7.8</x:v>
      </x:c>
      <x:c r="S37" s="34" t="str">
        <x:v>dome good</x:v>
      </x:c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2" t="n">
        <x:v>15</x:v>
      </x:c>
      <x:c r="K38" s="33" t="str">
        <x:v>아몬드T</x:v>
      </x:c>
      <x:c r="L38" s="33" t="n">
        <x:v>1</x:v>
      </x:c>
      <x:c r="M38" s="236" t="n">
        <x:v>79.8</x:v>
      </x:c>
      <x:c r="N38" s="236" t="n">
        <x:v>9.1</x:v>
      </x:c>
      <x:c r="O38" s="33" t="str">
        <x:v>gold</x:v>
      </x:c>
      <x:c r="P38" s="33" t="str">
        <x:v>N</x:v>
      </x:c>
      <x:c r="Q38" s="33" t="n">
        <x:v>5</x:v>
      </x:c>
      <x:c r="R38" s="33" t="n">
        <x:v>8</x:v>
      </x:c>
      <x:c r="S38" s="34" t="str">
        <x:v>dome good</x:v>
      </x:c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2" t="n">
        <x:v>15</x:v>
      </x:c>
      <x:c r="K39" s="33" t="str">
        <x:v>아몬드T</x:v>
      </x:c>
      <x:c r="L39" s="33" t="n">
        <x:v>2</x:v>
      </x:c>
      <x:c r="M39" s="236" t="n">
        <x:v>81</x:v>
      </x:c>
      <x:c r="N39" s="236" t="n">
        <x:v>9.1</x:v>
      </x:c>
      <x:c r="O39" s="33" t="str">
        <x:v>dark edge</x:v>
      </x:c>
      <x:c r="P39" s="33" t="str">
        <x:v>N</x:v>
      </x:c>
      <x:c r="Q39" s="33" t="n">
        <x:v>4</x:v>
      </x:c>
      <x:c r="R39" s="33" t="n">
        <x:v>8.4</x:v>
      </x:c>
      <x:c r="S39" s="34" t="str">
        <x:v>-</x:v>
      </x:c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2" t="n">
        <x:v>18</x:v>
      </x:c>
      <x:c r="K40" s="33" t="str">
        <x:v>기본</x:v>
      </x:c>
      <x:c r="L40" s="33" t="n">
        <x:v>1</x:v>
      </x:c>
      <x:c r="M40" s="236" t="n">
        <x:v>90.4</x:v>
      </x:c>
      <x:c r="N40" s="236" t="n">
        <x:v>9.8</x:v>
      </x:c>
      <x:c r="O40" s="33" t="str">
        <x:v>dark edge</x:v>
      </x:c>
      <x:c r="P40" s="33" t="str">
        <x:v>N</x:v>
      </x:c>
      <x:c r="Q40" s="33" t="n">
        <x:v>3</x:v>
      </x:c>
      <x:c r="R40" s="33" t="n">
        <x:v>9.4</x:v>
      </x:c>
      <x:c r="S40" s="34" t="str">
        <x:v>edge↑</x:v>
      </x:c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2" t="n">
        <x:v>18</x:v>
      </x:c>
      <x:c r="K41" s="33" t="str">
        <x:v>기본</x:v>
      </x:c>
      <x:c r="L41" s="33" t="n">
        <x:v>2</x:v>
      </x:c>
      <x:c r="M41" s="236" t="n">
        <x:v>90.2</x:v>
      </x:c>
      <x:c r="N41" s="236" t="n">
        <x:v>10</x:v>
      </x:c>
      <x:c r="O41" s="33" t="str">
        <x:v>gold</x:v>
      </x:c>
      <x:c r="P41" s="33" t="str">
        <x:v>Y</x:v>
      </x:c>
      <x:c r="Q41" s="33" t="n">
        <x:v>3.7</x:v>
      </x:c>
      <x:c r="R41" s="33" t="n">
        <x:v>9.8</x:v>
      </x:c>
      <x:c r="S41" s="34" t="str">
        <x:v>-</x:v>
      </x:c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2" t="n">
        <x:v>18</x:v>
      </x:c>
      <x:c r="K42" s="33" t="str">
        <x:v>럼</x:v>
      </x:c>
      <x:c r="L42" s="33" t="n">
        <x:v>1</x:v>
      </x:c>
      <x:c r="M42" s="236" t="n">
        <x:v>91.2</x:v>
      </x:c>
      <x:c r="N42" s="236" t="n">
        <x:v>10.3</x:v>
      </x:c>
      <x:c r="O42" s="33" t="str">
        <x:v>pale</x:v>
      </x:c>
      <x:c r="P42" s="33" t="str">
        <x:v>N</x:v>
      </x:c>
      <x:c r="Q42" s="33" t="n">
        <x:v>3.2</x:v>
      </x:c>
      <x:c r="R42" s="33" t="n">
        <x:v>9.9</x:v>
      </x:c>
      <x:c r="S42" s="34" t="str">
        <x:v>edge↑</x:v>
      </x:c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2" t="n">
        <x:v>18</x:v>
      </x:c>
      <x:c r="K43" s="33" t="str">
        <x:v>럼</x:v>
      </x:c>
      <x:c r="L43" s="33" t="n">
        <x:v>2</x:v>
      </x:c>
      <x:c r="M43" s="236" t="n">
        <x:v>90.3</x:v>
      </x:c>
      <x:c r="N43" s="236" t="n">
        <x:v>10.2</x:v>
      </x:c>
      <x:c r="O43" s="33" t="str">
        <x:v>pale</x:v>
      </x:c>
      <x:c r="P43" s="33" t="str">
        <x:v>Y</x:v>
      </x:c>
      <x:c r="Q43" s="33" t="n">
        <x:v>3.3</x:v>
      </x:c>
      <x:c r="R43" s="33" t="n">
        <x:v>9.7</x:v>
      </x:c>
      <x:c r="S43" s="34" t="str">
        <x:v>edge↑</x:v>
      </x:c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2" t="n">
        <x:v>18</x:v>
      </x:c>
      <x:c r="K44" s="33" t="str">
        <x:v>슈가coat</x:v>
      </x:c>
      <x:c r="L44" s="33" t="n">
        <x:v>1</x:v>
      </x:c>
      <x:c r="M44" s="236" t="n">
        <x:v>91.6</x:v>
      </x:c>
      <x:c r="N44" s="236" t="n">
        <x:v>10.4</x:v>
      </x:c>
      <x:c r="O44" s="33" t="str">
        <x:v>dark edge</x:v>
      </x:c>
      <x:c r="P44" s="33" t="str">
        <x:v>N</x:v>
      </x:c>
      <x:c r="Q44" s="33" t="n">
        <x:v>4</x:v>
      </x:c>
      <x:c r="R44" s="33" t="n">
        <x:v>9.8</x:v>
      </x:c>
      <x:c r="S44" s="34" t="str">
        <x:v>dome good</x:v>
      </x:c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2" t="n">
        <x:v>18</x:v>
      </x:c>
      <x:c r="K45" s="33" t="str">
        <x:v>슈가coat</x:v>
      </x:c>
      <x:c r="L45" s="33" t="n">
        <x:v>2</x:v>
      </x:c>
      <x:c r="M45" s="236" t="n">
        <x:v>92.2</x:v>
      </x:c>
      <x:c r="N45" s="236" t="n">
        <x:v>10.6</x:v>
      </x:c>
      <x:c r="O45" s="33" t="str">
        <x:v>gold</x:v>
      </x:c>
      <x:c r="P45" s="33" t="str">
        <x:v>N</x:v>
      </x:c>
      <x:c r="Q45" s="33" t="n">
        <x:v>2.8</x:v>
      </x:c>
      <x:c r="R45" s="33" t="n">
        <x:v>9.5</x:v>
      </x:c>
      <x:c r="S45" s="34" t="str">
        <x:v>-</x:v>
      </x:c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2" t="n">
        <x:v>18</x:v>
      </x:c>
      <x:c r="K46" s="33" t="str">
        <x:v>아몬드T</x:v>
      </x:c>
      <x:c r="L46" s="33" t="n">
        <x:v>1</x:v>
      </x:c>
      <x:c r="M46" s="236" t="n">
        <x:v>91.6</x:v>
      </x:c>
      <x:c r="N46" s="236" t="n">
        <x:v>11.1</x:v>
      </x:c>
      <x:c r="O46" s="33" t="str">
        <x:v>brown</x:v>
      </x:c>
      <x:c r="P46" s="33" t="str">
        <x:v>N</x:v>
      </x:c>
      <x:c r="Q46" s="33" t="n">
        <x:v>4.8</x:v>
      </x:c>
      <x:c r="R46" s="33" t="n">
        <x:v>9.4</x:v>
      </x:c>
      <x:c r="S46" s="34" t="str">
        <x:v>dome good</x:v>
      </x:c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2" t="n">
        <x:v>18</x:v>
      </x:c>
      <x:c r="K47" s="33" t="str">
        <x:v>아몬드T</x:v>
      </x:c>
      <x:c r="L47" s="33" t="n">
        <x:v>2</x:v>
      </x:c>
      <x:c r="M47" s="236" t="n">
        <x:v>91.7</x:v>
      </x:c>
      <x:c r="N47" s="236" t="n">
        <x:v>11</x:v>
      </x:c>
      <x:c r="O47" s="33" t="str">
        <x:v>gold</x:v>
      </x:c>
      <x:c r="P47" s="33" t="str">
        <x:v>N</x:v>
      </x:c>
      <x:c r="Q47" s="33" t="n">
        <x:v>4.6</x:v>
      </x:c>
      <x:c r="R47" s="33" t="n">
        <x:v>9.7</x:v>
      </x:c>
      <x:c r="S47" s="34" t="str">
        <x:v>사진</x:v>
      </x:c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2" t="n">
        <x:v>21</x:v>
      </x:c>
      <x:c r="K48" s="33" t="str">
        <x:v>기본</x:v>
      </x:c>
      <x:c r="L48" s="33" t="n">
        <x:v>1</x:v>
      </x:c>
      <x:c r="M48" s="236" t="n">
        <x:v>99.4</x:v>
      </x:c>
      <x:c r="N48" s="236" t="n">
        <x:v>11.2</x:v>
      </x:c>
      <x:c r="O48" s="33" t="str">
        <x:v>gold</x:v>
      </x:c>
      <x:c r="P48" s="33" t="str">
        <x:v>N</x:v>
      </x:c>
      <x:c r="Q48" s="33" t="n">
        <x:v>3</x:v>
      </x:c>
      <x:c r="R48" s="33" t="n">
        <x:v>10.9</x:v>
      </x:c>
      <x:c r="S48" s="34" t="str">
        <x:v>사진</x:v>
      </x:c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2" t="n">
        <x:v>21</x:v>
      </x:c>
      <x:c r="K49" s="33" t="str">
        <x:v>기본</x:v>
      </x:c>
      <x:c r="L49" s="33" t="n">
        <x:v>2</x:v>
      </x:c>
      <x:c r="M49" s="236" t="n">
        <x:v>99.4</x:v>
      </x:c>
      <x:c r="N49" s="236" t="n">
        <x:v>11.4</x:v>
      </x:c>
      <x:c r="O49" s="33" t="str">
        <x:v>pale</x:v>
      </x:c>
      <x:c r="P49" s="33" t="str">
        <x:v>N</x:v>
      </x:c>
      <x:c r="Q49" s="33" t="n">
        <x:v>3.5</x:v>
      </x:c>
      <x:c r="R49" s="33" t="n">
        <x:v>11</x:v>
      </x:c>
      <x:c r="S49" s="34" t="str">
        <x:v>dome good</x:v>
      </x:c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2" t="n">
        <x:v>21</x:v>
      </x:c>
      <x:c r="K50" s="33" t="str">
        <x:v>슈가coat</x:v>
      </x:c>
      <x:c r="L50" s="33" t="n">
        <x:v>1</x:v>
      </x:c>
      <x:c r="M50" s="236" t="n">
        <x:v>99.4</x:v>
      </x:c>
      <x:c r="N50" s="236" t="n">
        <x:v>11.7</x:v>
      </x:c>
      <x:c r="O50" s="33" t="str">
        <x:v>pale</x:v>
      </x:c>
      <x:c r="P50" s="33" t="str">
        <x:v>Y</x:v>
      </x:c>
      <x:c r="Q50" s="33" t="n">
        <x:v>4.2</x:v>
      </x:c>
      <x:c r="R50" s="33" t="n">
        <x:v>11.1</x:v>
      </x:c>
      <x:c r="S50" s="34" t="str">
        <x:v>dome good</x:v>
      </x:c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5" t="n">
        <x:v>21</x:v>
      </x:c>
      <x:c r="K51" s="36" t="str">
        <x:v>슈가coat</x:v>
      </x:c>
      <x:c r="L51" s="36" t="n">
        <x:v>2</x:v>
      </x:c>
      <x:c r="M51" s="237" t="n">
        <x:v>99.4</x:v>
      </x:c>
      <x:c r="N51" s="237" t="n">
        <x:v>11.9</x:v>
      </x:c>
      <x:c r="O51" s="36" t="str">
        <x:v>brown</x:v>
      </x:c>
      <x:c r="P51" s="36" t="str">
        <x:v>Y</x:v>
      </x:c>
      <x:c r="Q51" s="36" t="n">
        <x:v>3.3</x:v>
      </x:c>
      <x:c r="R51" s="36" t="n">
        <x:v>11</x:v>
      </x:c>
      <x:c r="S51" s="37" t="str">
        <x:v>사진</x:v>
      </x:c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</x:sheetData>
  <x:mergeCells>
    <x:mergeCell ref="D3:P4"/>
    <x:mergeCell ref="K8:K9"/>
    <x:mergeCell ref="J8:J9"/>
    <x:mergeCell ref="K10:K11"/>
    <x:mergeCell ref="J10:J11"/>
    <x:mergeCell ref="K12:K13"/>
    <x:mergeCell ref="J12:J13"/>
    <x:mergeCell ref="K14:K15"/>
    <x:mergeCell ref="J14:J15"/>
    <x:mergeCell ref="K16:K17"/>
    <x:mergeCell ref="J16:J17"/>
    <x:mergeCell ref="K18:K19"/>
    <x:mergeCell ref="J18:J19"/>
    <x:mergeCell ref="K20:K21"/>
    <x:mergeCell ref="J20:J21"/>
    <x:mergeCell ref="K22:K23"/>
    <x:mergeCell ref="J22:J23"/>
    <x:mergeCell ref="K24:K25"/>
    <x:mergeCell ref="J24:J25"/>
    <x:mergeCell ref="K26:K27"/>
    <x:mergeCell ref="J26:J27"/>
    <x:mergeCell ref="K28:K29"/>
    <x:mergeCell ref="J28:J29"/>
    <x:mergeCell ref="K30:K31"/>
    <x:mergeCell ref="J30:J31"/>
    <x:mergeCell ref="K32:K33"/>
    <x:mergeCell ref="J32:J33"/>
    <x:mergeCell ref="K34:K35"/>
    <x:mergeCell ref="J34:J35"/>
    <x:mergeCell ref="K36:K37"/>
    <x:mergeCell ref="J36:J37"/>
    <x:mergeCell ref="K38:K39"/>
    <x:mergeCell ref="J38:J39"/>
    <x:mergeCell ref="K40:K41"/>
    <x:mergeCell ref="J40:J41"/>
    <x:mergeCell ref="K42:K43"/>
    <x:mergeCell ref="J42:J43"/>
    <x:mergeCell ref="K44:K45"/>
    <x:mergeCell ref="J44:J45"/>
    <x:mergeCell ref="K46:K47"/>
    <x:mergeCell ref="J46:J47"/>
    <x:mergeCell ref="K48:K49"/>
    <x:mergeCell ref="J48:J49"/>
    <x:mergeCell ref="K50:K51"/>
    <x:mergeCell ref="J50:J5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1">
      <x:c r="A1" s="33"/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33"/>
      <x:c r="B3" s="33"/>
      <x:c r="C3" s="33"/>
      <x:c r="D3" s="170" t="str">
        <x:v>오리지날  OVEN=190℃ / 실험기록</x:v>
      </x:c>
      <x:c r="E3" s="171"/>
      <x:c r="F3" s="171"/>
      <x:c r="G3" s="171"/>
      <x:c r="H3" s="171"/>
      <x:c r="I3" s="171"/>
      <x:c r="J3" s="171"/>
      <x:c r="K3" s="171"/>
      <x:c r="L3" s="171"/>
      <x:c r="M3" s="171"/>
      <x:c r="N3" s="171"/>
      <x:c r="O3" s="171"/>
      <x:c r="P3" s="172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33"/>
      <x:c r="B4" s="33"/>
      <x:c r="C4" s="33"/>
      <x:c r="D4" s="173"/>
      <x:c r="E4" s="174"/>
      <x:c r="F4" s="174"/>
      <x:c r="G4" s="174"/>
      <x:c r="H4" s="174"/>
      <x:c r="I4" s="174"/>
      <x:c r="J4" s="174"/>
      <x:c r="K4" s="174"/>
      <x:c r="L4" s="174"/>
      <x:c r="M4" s="174"/>
      <x:c r="N4" s="174"/>
      <x:c r="O4" s="174"/>
      <x:c r="P4" s="175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3"/>
      <x:c r="B6" s="33"/>
      <x:c r="C6" s="33"/>
      <x:c r="D6" s="29" t="str">
        <x:v>batch</x:v>
      </x:c>
      <x:c r="E6" s="30" t="str">
        <x:v>오-190-A</x:v>
      </x:c>
      <x:c r="F6" s="30" t="str">
        <x:v>fan</x:v>
      </x:c>
      <x:c r="G6" s="30" t="str">
        <x:v>약풍</x:v>
      </x:c>
      <x:c r="H6" s="31" t="str">
        <x:v>memo</x:v>
      </x:c>
      <x:c r="I6" s="33"/>
      <x:c r="J6" s="58" t="str">
        <x:v>Time</x:v>
      </x:c>
      <x:c r="K6" s="59" t="str">
        <x:v>Add-in</x:v>
      </x:c>
      <x:c r="L6" s="59" t="str">
        <x:v>rep</x:v>
      </x:c>
      <x:c r="M6" s="59" t="str">
        <x:v>core T</x:v>
      </x:c>
      <x:c r="N6" s="59" t="str">
        <x:v>rise</x:v>
      </x:c>
      <x:c r="O6" s="59" t="str">
        <x:v>surface</x:v>
      </x:c>
      <x:c r="P6" s="59" t="str">
        <x:v>crack</x:v>
      </x:c>
      <x:c r="Q6" s="59" t="str">
        <x:v>moist</x:v>
      </x:c>
      <x:c r="R6" s="59" t="str">
        <x:v>loss</x:v>
      </x:c>
      <x:c r="S6" s="60" t="str">
        <x:v>memo</x:v>
      </x:c>
      <x:c r="T6" s="33"/>
      <x:c r="U6" s="33"/>
      <x:c r="V6" s="33"/>
      <x:c r="W6" s="33"/>
      <x:c r="X6" s="33"/>
      <x:c r="Y6" s="33"/>
      <x:c r="Z6" s="33"/>
    </x:row>
    <x:row r="7">
      <x:c r="A7" s="33"/>
      <x:c r="B7" s="33"/>
      <x:c r="C7" s="33"/>
      <x:c r="D7" s="32" t="str">
        <x:v>실내</x:v>
      </x:c>
      <x:c r="E7" s="33" t="str">
        <x:v>25℃</x:v>
      </x:c>
      <x:c r="F7" s="33" t="str">
        <x:v>반죽숙성</x:v>
      </x:c>
      <x:c r="G7" s="33" t="str">
        <x:v>8h</x:v>
      </x:c>
      <x:c r="H7" s="34" t="str">
        <x:v>수기</x:v>
      </x:c>
      <x:c r="I7" s="33"/>
      <x:c r="J7" s="212" t="str">
        <x:v>min</x:v>
      </x:c>
      <x:c r="K7" s="213" t="str">
        <x:v>조건</x:v>
      </x:c>
      <x:c r="L7" s="213" t="str">
        <x:v>#</x:v>
      </x:c>
      <x:c r="M7" s="213" t="str">
        <x:v>℃</x:v>
      </x:c>
      <x:c r="N7" s="213" t="str">
        <x:v>mm</x:v>
      </x:c>
      <x:c r="O7" s="213" t="str">
        <x:v>visual</x:v>
      </x:c>
      <x:c r="P7" s="213" t="str">
        <x:v>Y/N</x:v>
      </x:c>
      <x:c r="Q7" s="213" t="str">
        <x:v>1~5</x:v>
      </x:c>
      <x:c r="R7" s="213" t="str">
        <x:v>%</x:v>
      </x:c>
      <x:c r="S7" s="214" t="str"/>
      <x:c r="T7" s="33"/>
      <x:c r="U7" s="33"/>
      <x:c r="V7" s="33"/>
      <x:c r="W7" s="33"/>
      <x:c r="X7" s="33"/>
      <x:c r="Y7" s="33"/>
      <x:c r="Z7" s="33"/>
    </x:row>
    <x:row r="8">
      <x:c r="A8" s="33"/>
      <x:c r="B8" s="33"/>
      <x:c r="C8" s="33"/>
      <x:c r="D8" s="32" t="str">
        <x:v>몰드</x:v>
      </x:c>
      <x:c r="E8" s="33" t="str">
        <x:v>12구</x:v>
      </x:c>
      <x:c r="F8" s="33" t="str">
        <x:v>probe</x:v>
      </x:c>
      <x:c r="G8" s="33" t="str">
        <x:v>center</x:v>
      </x:c>
      <x:c r="H8" s="34" t="str">
        <x:v>K-type</x:v>
      </x:c>
      <x:c r="I8" s="33"/>
      <x:c r="J8" s="29" t="n">
        <x:v>0</x:v>
      </x:c>
      <x:c r="K8" s="30" t="str">
        <x:v>기본</x:v>
      </x:c>
      <x:c r="L8" s="30" t="n">
        <x:v>1</x:v>
      </x:c>
      <x:c r="M8" s="235" t="n">
        <x:v>27</x:v>
      </x:c>
      <x:c r="N8" s="235" t="n">
        <x:v>1.8</x:v>
      </x:c>
      <x:c r="O8" s="30" t="str">
        <x:v>pale</x:v>
      </x:c>
      <x:c r="P8" s="30" t="str">
        <x:v>N</x:v>
      </x:c>
      <x:c r="Q8" s="30" t="n">
        <x:v>4.9</x:v>
      </x:c>
      <x:c r="R8" s="30" t="n">
        <x:v>0.2</x:v>
      </x:c>
      <x:c r="S8" s="31" t="str">
        <x:v>dome good</x:v>
      </x:c>
      <x:c r="T8" s="33"/>
      <x:c r="U8" s="33"/>
      <x:c r="V8" s="33"/>
      <x:c r="W8" s="33"/>
      <x:c r="X8" s="33"/>
      <x:c r="Y8" s="33"/>
      <x:c r="Z8" s="33"/>
    </x:row>
    <x:row r="9">
      <x:c r="A9" s="33"/>
      <x:c r="B9" s="33"/>
      <x:c r="C9" s="33"/>
      <x:c r="D9" s="32" t="str">
        <x:v>note</x:v>
      </x:c>
      <x:c r="E9" s="33" t="str">
        <x:v>같은 시간 여러 부재료는 merge</x:v>
      </x:c>
      <x:c r="F9" s="33" t="str"/>
      <x:c r="G9" s="33" t="str"/>
      <x:c r="H9" s="34" t="str"/>
      <x:c r="I9" s="33"/>
      <x:c r="J9" s="32" t="n">
        <x:v>0</x:v>
      </x:c>
      <x:c r="K9" s="33" t="str">
        <x:v>기본</x:v>
      </x:c>
      <x:c r="L9" s="33" t="n">
        <x:v>2</x:v>
      </x:c>
      <x:c r="M9" s="236" t="n">
        <x:v>28</x:v>
      </x:c>
      <x:c r="N9" s="236" t="n">
        <x:v>1.6</x:v>
      </x:c>
      <x:c r="O9" s="33" t="str">
        <x:v>pale</x:v>
      </x:c>
      <x:c r="P9" s="33" t="str">
        <x:v>N</x:v>
      </x:c>
      <x:c r="Q9" s="33" t="n">
        <x:v>2.7</x:v>
      </x:c>
      <x:c r="R9" s="33" t="n">
        <x:v>0.6</x:v>
      </x:c>
      <x:c r="S9" s="34" t="str">
        <x:v>edge↑</x:v>
      </x:c>
      <x:c r="T9" s="33"/>
      <x:c r="U9" s="33"/>
      <x:c r="V9" s="33"/>
      <x:c r="W9" s="33"/>
      <x:c r="X9" s="33"/>
      <x:c r="Y9" s="33"/>
      <x:c r="Z9" s="33"/>
    </x:row>
    <x:row r="10">
      <x:c r="A10" s="33"/>
      <x:c r="B10" s="33"/>
      <x:c r="C10" s="33"/>
      <x:c r="D10" s="35" t="str">
        <x:v>operator</x:v>
      </x:c>
      <x:c r="E10" s="36" t="str">
        <x:v>KIM</x:v>
      </x:c>
      <x:c r="F10" s="36" t="str">
        <x:v>n</x:v>
      </x:c>
      <x:c r="G10" s="36" t="str">
        <x:v>2</x:v>
      </x:c>
      <x:c r="H10" s="37" t="str"/>
      <x:c r="I10" s="33"/>
      <x:c r="J10" s="32" t="n">
        <x:v>0</x:v>
      </x:c>
      <x:c r="K10" s="33" t="str">
        <x:v>럼</x:v>
      </x:c>
      <x:c r="L10" s="33" t="n">
        <x:v>1</x:v>
      </x:c>
      <x:c r="M10" s="236" t="n">
        <x:v>28.4</x:v>
      </x:c>
      <x:c r="N10" s="236" t="n">
        <x:v>2.4</x:v>
      </x:c>
      <x:c r="O10" s="33" t="str">
        <x:v>dark edge</x:v>
      </x:c>
      <x:c r="P10" s="33" t="str">
        <x:v>N</x:v>
      </x:c>
      <x:c r="Q10" s="33" t="n">
        <x:v>4.4</x:v>
      </x:c>
      <x:c r="R10" s="33" t="n">
        <x:v>0.3</x:v>
      </x:c>
      <x:c r="S10" s="34" t="str">
        <x:v>사진</x:v>
      </x:c>
      <x:c r="T10" s="33"/>
      <x:c r="U10" s="33"/>
      <x:c r="V10" s="33"/>
      <x:c r="W10" s="33"/>
      <x:c r="X10" s="33"/>
      <x:c r="Y10" s="33"/>
      <x:c r="Z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2" t="n">
        <x:v>0</x:v>
      </x:c>
      <x:c r="K11" s="33" t="str">
        <x:v>럼</x:v>
      </x:c>
      <x:c r="L11" s="33" t="n">
        <x:v>2</x:v>
      </x:c>
      <x:c r="M11" s="236" t="n">
        <x:v>27.6</x:v>
      </x:c>
      <x:c r="N11" s="236" t="n">
        <x:v>2.2</x:v>
      </x:c>
      <x:c r="O11" s="33" t="str">
        <x:v>gold</x:v>
      </x:c>
      <x:c r="P11" s="33" t="str">
        <x:v>Y</x:v>
      </x:c>
      <x:c r="Q11" s="33" t="n">
        <x:v>3.2</x:v>
      </x:c>
      <x:c r="R11" s="33" t="n">
        <x:v>0.6</x:v>
      </x:c>
      <x:c r="S11" s="34" t="str">
        <x:v>dome good</x:v>
      </x:c>
      <x:c r="T11" s="33"/>
      <x:c r="U11" s="33"/>
      <x:c r="V11" s="33"/>
      <x:c r="W11" s="33"/>
      <x:c r="X11" s="33"/>
      <x:c r="Y11" s="33"/>
      <x:c r="Z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2" t="n">
        <x:v>3</x:v>
      </x:c>
      <x:c r="K12" s="33" t="str">
        <x:v>기본</x:v>
      </x:c>
      <x:c r="L12" s="33" t="n">
        <x:v>1</x:v>
      </x:c>
      <x:c r="M12" s="236" t="n">
        <x:v>37.4</x:v>
      </x:c>
      <x:c r="N12" s="236" t="n">
        <x:v>3</x:v>
      </x:c>
      <x:c r="O12" s="33" t="str">
        <x:v>dark edge</x:v>
      </x:c>
      <x:c r="P12" s="33" t="str">
        <x:v>N</x:v>
      </x:c>
      <x:c r="Q12" s="33" t="n">
        <x:v>4</x:v>
      </x:c>
      <x:c r="R12" s="33" t="n">
        <x:v>1.7</x:v>
      </x:c>
      <x:c r="S12" s="34" t="str">
        <x:v>-</x:v>
      </x:c>
      <x:c r="T12" s="33"/>
      <x:c r="U12" s="33"/>
      <x:c r="V12" s="33"/>
      <x:c r="W12" s="33"/>
      <x:c r="X12" s="33"/>
      <x:c r="Y12" s="33"/>
      <x:c r="Z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2" t="n">
        <x:v>3</x:v>
      </x:c>
      <x:c r="K13" s="33" t="str">
        <x:v>기본</x:v>
      </x:c>
      <x:c r="L13" s="33" t="n">
        <x:v>2</x:v>
      </x:c>
      <x:c r="M13" s="236" t="n">
        <x:v>37.5</x:v>
      </x:c>
      <x:c r="N13" s="236" t="n">
        <x:v>3.3</x:v>
      </x:c>
      <x:c r="O13" s="33" t="str">
        <x:v>pale</x:v>
      </x:c>
      <x:c r="P13" s="33" t="str">
        <x:v>N</x:v>
      </x:c>
      <x:c r="Q13" s="33" t="n">
        <x:v>4.4</x:v>
      </x:c>
      <x:c r="R13" s="33" t="n">
        <x:v>2.3</x:v>
      </x:c>
      <x:c r="S13" s="34" t="str">
        <x:v>사진</x:v>
      </x:c>
      <x:c r="T13" s="33"/>
      <x:c r="U13" s="33"/>
      <x:c r="V13" s="33"/>
      <x:c r="W13" s="33"/>
      <x:c r="X13" s="33"/>
      <x:c r="Y13" s="33"/>
      <x:c r="Z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2" t="n">
        <x:v>3</x:v>
      </x:c>
      <x:c r="K14" s="33" t="str">
        <x:v>아몬드T</x:v>
      </x:c>
      <x:c r="L14" s="33" t="n">
        <x:v>1</x:v>
      </x:c>
      <x:c r="M14" s="236" t="n">
        <x:v>38.3</x:v>
      </x:c>
      <x:c r="N14" s="236" t="n">
        <x:v>3.4</x:v>
      </x:c>
      <x:c r="O14" s="33" t="str">
        <x:v>gold</x:v>
      </x:c>
      <x:c r="P14" s="33" t="str">
        <x:v>Y</x:v>
      </x:c>
      <x:c r="Q14" s="33" t="n">
        <x:v>2.8</x:v>
      </x:c>
      <x:c r="R14" s="33" t="n">
        <x:v>2.3</x:v>
      </x:c>
      <x:c r="S14" s="34" t="str">
        <x:v>dome good</x:v>
      </x:c>
      <x:c r="T14" s="33"/>
      <x:c r="U14" s="33"/>
      <x:c r="V14" s="33"/>
      <x:c r="W14" s="33"/>
      <x:c r="X14" s="33"/>
      <x:c r="Y14" s="33"/>
      <x:c r="Z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2" t="n">
        <x:v>3</x:v>
      </x:c>
      <x:c r="K15" s="33" t="str">
        <x:v>아몬드T</x:v>
      </x:c>
      <x:c r="L15" s="33" t="n">
        <x:v>2</x:v>
      </x:c>
      <x:c r="M15" s="236" t="n">
        <x:v>39.3</x:v>
      </x:c>
      <x:c r="N15" s="236" t="n">
        <x:v>3.5</x:v>
      </x:c>
      <x:c r="O15" s="33" t="str">
        <x:v>pale</x:v>
      </x:c>
      <x:c r="P15" s="33" t="str">
        <x:v>N</x:v>
      </x:c>
      <x:c r="Q15" s="33" t="n">
        <x:v>3.5</x:v>
      </x:c>
      <x:c r="R15" s="33" t="n">
        <x:v>1.9</x:v>
      </x:c>
      <x:c r="S15" s="34" t="str">
        <x:v>사진</x:v>
      </x:c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2" t="n">
        <x:v>6</x:v>
      </x:c>
      <x:c r="K16" s="33" t="str">
        <x:v>기본</x:v>
      </x:c>
      <x:c r="L16" s="33" t="n">
        <x:v>1</x:v>
      </x:c>
      <x:c r="M16" s="236" t="n">
        <x:v>48.3</x:v>
      </x:c>
      <x:c r="N16" s="236" t="n">
        <x:v>4.5</x:v>
      </x:c>
      <x:c r="O16" s="33" t="str">
        <x:v>dark edge</x:v>
      </x:c>
      <x:c r="P16" s="33" t="str">
        <x:v>Y</x:v>
      </x:c>
      <x:c r="Q16" s="33" t="n">
        <x:v>3.9</x:v>
      </x:c>
      <x:c r="R16" s="33" t="n">
        <x:v>3.3</x:v>
      </x:c>
      <x:c r="S16" s="34" t="str">
        <x:v>-</x:v>
      </x:c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2" t="n">
        <x:v>6</x:v>
      </x:c>
      <x:c r="K17" s="33" t="str">
        <x:v>기본</x:v>
      </x:c>
      <x:c r="L17" s="33" t="n">
        <x:v>2</x:v>
      </x:c>
      <x:c r="M17" s="236" t="n">
        <x:v>48.7</x:v>
      </x:c>
      <x:c r="N17" s="236" t="n">
        <x:v>4.6</x:v>
      </x:c>
      <x:c r="O17" s="33" t="str">
        <x:v>dark edge</x:v>
      </x:c>
      <x:c r="P17" s="33" t="str">
        <x:v>N</x:v>
      </x:c>
      <x:c r="Q17" s="33" t="n">
        <x:v>4.4</x:v>
      </x:c>
      <x:c r="R17" s="33" t="n">
        <x:v>3.2</x:v>
      </x:c>
      <x:c r="S17" s="34" t="str">
        <x:v>dome good</x:v>
      </x:c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2" t="n">
        <x:v>6</x:v>
      </x:c>
      <x:c r="K18" s="33" t="str">
        <x:v>럼</x:v>
      </x:c>
      <x:c r="L18" s="33" t="n">
        <x:v>1</x:v>
      </x:c>
      <x:c r="M18" s="236" t="n">
        <x:v>49.6</x:v>
      </x:c>
      <x:c r="N18" s="236" t="n">
        <x:v>4.7</x:v>
      </x:c>
      <x:c r="O18" s="33" t="str">
        <x:v>pale</x:v>
      </x:c>
      <x:c r="P18" s="33" t="str">
        <x:v>N</x:v>
      </x:c>
      <x:c r="Q18" s="33" t="n">
        <x:v>5</x:v>
      </x:c>
      <x:c r="R18" s="33" t="n">
        <x:v>3.9</x:v>
      </x:c>
      <x:c r="S18" s="34" t="str">
        <x:v>-</x:v>
      </x:c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2" t="n">
        <x:v>6</x:v>
      </x:c>
      <x:c r="K19" s="33" t="str">
        <x:v>럼</x:v>
      </x:c>
      <x:c r="L19" s="33" t="n">
        <x:v>2</x:v>
      </x:c>
      <x:c r="M19" s="236" t="n">
        <x:v>49.8</x:v>
      </x:c>
      <x:c r="N19" s="236" t="n">
        <x:v>4.6</x:v>
      </x:c>
      <x:c r="O19" s="33" t="str">
        <x:v>brown</x:v>
      </x:c>
      <x:c r="P19" s="33" t="str">
        <x:v>N</x:v>
      </x:c>
      <x:c r="Q19" s="33" t="n">
        <x:v>4.9</x:v>
      </x:c>
      <x:c r="R19" s="33" t="n">
        <x:v>3.9</x:v>
      </x:c>
      <x:c r="S19" s="34" t="str">
        <x:v>dome good</x:v>
      </x:c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2" t="n">
        <x:v>6</x:v>
      </x:c>
      <x:c r="K20" s="33" t="str">
        <x:v>슈가coat</x:v>
      </x:c>
      <x:c r="L20" s="33" t="n">
        <x:v>1</x:v>
      </x:c>
      <x:c r="M20" s="236" t="n">
        <x:v>49.7</x:v>
      </x:c>
      <x:c r="N20" s="236" t="n">
        <x:v>5.3</x:v>
      </x:c>
      <x:c r="O20" s="33" t="str">
        <x:v>dark edge</x:v>
      </x:c>
      <x:c r="P20" s="33" t="str">
        <x:v>Y</x:v>
      </x:c>
      <x:c r="Q20" s="33" t="n">
        <x:v>3.9</x:v>
      </x:c>
      <x:c r="R20" s="33" t="n">
        <x:v>3.4</x:v>
      </x:c>
      <x:c r="S20" s="34" t="str">
        <x:v>-</x:v>
      </x:c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2" t="n">
        <x:v>6</x:v>
      </x:c>
      <x:c r="K21" s="33" t="str">
        <x:v>슈가coat</x:v>
      </x:c>
      <x:c r="L21" s="33" t="n">
        <x:v>2</x:v>
      </x:c>
      <x:c r="M21" s="236" t="n">
        <x:v>50.5</x:v>
      </x:c>
      <x:c r="N21" s="236" t="n">
        <x:v>5.2</x:v>
      </x:c>
      <x:c r="O21" s="33" t="str">
        <x:v>dark edge</x:v>
      </x:c>
      <x:c r="P21" s="33" t="str">
        <x:v>N</x:v>
      </x:c>
      <x:c r="Q21" s="33" t="n">
        <x:v>3.8</x:v>
      </x:c>
      <x:c r="R21" s="33" t="n">
        <x:v>3.8</x:v>
      </x:c>
      <x:c r="S21" s="34" t="str">
        <x:v>edge↑</x:v>
      </x:c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2" t="n">
        <x:v>6</x:v>
      </x:c>
      <x:c r="K22" s="33" t="str">
        <x:v>아몬드T</x:v>
      </x:c>
      <x:c r="L22" s="33" t="n">
        <x:v>1</x:v>
      </x:c>
      <x:c r="M22" s="236" t="n">
        <x:v>50.2</x:v>
      </x:c>
      <x:c r="N22" s="236" t="n">
        <x:v>5.9</x:v>
      </x:c>
      <x:c r="O22" s="33" t="str">
        <x:v>gold</x:v>
      </x:c>
      <x:c r="P22" s="33" t="str">
        <x:v>N</x:v>
      </x:c>
      <x:c r="Q22" s="33" t="n">
        <x:v>2.5</x:v>
      </x:c>
      <x:c r="R22" s="33" t="n">
        <x:v>3.5</x:v>
      </x:c>
      <x:c r="S22" s="34" t="str">
        <x:v>-</x:v>
      </x:c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2" t="n">
        <x:v>6</x:v>
      </x:c>
      <x:c r="K23" s="33" t="str">
        <x:v>아몬드T</x:v>
      </x:c>
      <x:c r="L23" s="33" t="n">
        <x:v>2</x:v>
      </x:c>
      <x:c r="M23" s="236" t="n">
        <x:v>50.3</x:v>
      </x:c>
      <x:c r="N23" s="236" t="n">
        <x:v>5.6</x:v>
      </x:c>
      <x:c r="O23" s="33" t="str">
        <x:v>dark edge</x:v>
      </x:c>
      <x:c r="P23" s="33" t="str">
        <x:v>N</x:v>
      </x:c>
      <x:c r="Q23" s="33" t="n">
        <x:v>2.7</x:v>
      </x:c>
      <x:c r="R23" s="33" t="n">
        <x:v>3.3</x:v>
      </x:c>
      <x:c r="S23" s="34" t="str">
        <x:v>dome good</x:v>
      </x:c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2" t="n">
        <x:v>9</x:v>
      </x:c>
      <x:c r="K24" s="33" t="str">
        <x:v>기본</x:v>
      </x:c>
      <x:c r="L24" s="33" t="n">
        <x:v>1</x:v>
      </x:c>
      <x:c r="M24" s="236" t="n">
        <x:v>59.5</x:v>
      </x:c>
      <x:c r="N24" s="236" t="n">
        <x:v>6.1</x:v>
      </x:c>
      <x:c r="O24" s="33" t="str">
        <x:v>dark edge</x:v>
      </x:c>
      <x:c r="P24" s="33" t="str">
        <x:v>Y</x:v>
      </x:c>
      <x:c r="Q24" s="33" t="n">
        <x:v>4.5</x:v>
      </x:c>
      <x:c r="R24" s="33" t="n">
        <x:v>4.9</x:v>
      </x:c>
      <x:c r="S24" s="34" t="str">
        <x:v>dome good</x:v>
      </x:c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2" t="n">
        <x:v>9</x:v>
      </x:c>
      <x:c r="K25" s="33" t="str">
        <x:v>기본</x:v>
      </x:c>
      <x:c r="L25" s="33" t="n">
        <x:v>2</x:v>
      </x:c>
      <x:c r="M25" s="236" t="n">
        <x:v>60.1</x:v>
      </x:c>
      <x:c r="N25" s="236" t="n">
        <x:v>6.1</x:v>
      </x:c>
      <x:c r="O25" s="33" t="str">
        <x:v>gold</x:v>
      </x:c>
      <x:c r="P25" s="33" t="str">
        <x:v>N</x:v>
      </x:c>
      <x:c r="Q25" s="33" t="n">
        <x:v>2.6</x:v>
      </x:c>
      <x:c r="R25" s="33" t="n">
        <x:v>5.4</x:v>
      </x:c>
      <x:c r="S25" s="34" t="str">
        <x:v>dome good</x:v>
      </x:c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2" t="n">
        <x:v>9</x:v>
      </x:c>
      <x:c r="K26" s="33" t="str">
        <x:v>슈가coat</x:v>
      </x:c>
      <x:c r="L26" s="33" t="n">
        <x:v>1</x:v>
      </x:c>
      <x:c r="M26" s="236" t="n">
        <x:v>59.3</x:v>
      </x:c>
      <x:c r="N26" s="236" t="n">
        <x:v>6</x:v>
      </x:c>
      <x:c r="O26" s="33" t="str">
        <x:v>dark edge</x:v>
      </x:c>
      <x:c r="P26" s="33" t="str">
        <x:v>N</x:v>
      </x:c>
      <x:c r="Q26" s="33" t="n">
        <x:v>2.5</x:v>
      </x:c>
      <x:c r="R26" s="33" t="n">
        <x:v>4.8</x:v>
      </x:c>
      <x:c r="S26" s="34" t="str">
        <x:v>사진</x:v>
      </x:c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2" t="n">
        <x:v>9</x:v>
      </x:c>
      <x:c r="K27" s="33" t="str">
        <x:v>슈가coat</x:v>
      </x:c>
      <x:c r="L27" s="33" t="n">
        <x:v>2</x:v>
      </x:c>
      <x:c r="M27" s="236" t="n">
        <x:v>60.6</x:v>
      </x:c>
      <x:c r="N27" s="236" t="n">
        <x:v>6.2</x:v>
      </x:c>
      <x:c r="O27" s="33" t="str">
        <x:v>dark edge</x:v>
      </x:c>
      <x:c r="P27" s="33" t="str">
        <x:v>Y</x:v>
      </x:c>
      <x:c r="Q27" s="33" t="n">
        <x:v>2.7</x:v>
      </x:c>
      <x:c r="R27" s="33" t="n">
        <x:v>4.8</x:v>
      </x:c>
      <x:c r="S27" s="34" t="str">
        <x:v>edge↑</x:v>
      </x:c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2" t="n">
        <x:v>12</x:v>
      </x:c>
      <x:c r="K28" s="33" t="str">
        <x:v>기본</x:v>
      </x:c>
      <x:c r="L28" s="33" t="n">
        <x:v>1</x:v>
      </x:c>
      <x:c r="M28" s="236" t="n">
        <x:v>70.1</x:v>
      </x:c>
      <x:c r="N28" s="236" t="n">
        <x:v>7.1</x:v>
      </x:c>
      <x:c r="O28" s="33" t="str">
        <x:v>brown</x:v>
      </x:c>
      <x:c r="P28" s="33" t="str">
        <x:v>Y</x:v>
      </x:c>
      <x:c r="Q28" s="33" t="n">
        <x:v>4.6</x:v>
      </x:c>
      <x:c r="R28" s="33" t="n">
        <x:v>6.8</x:v>
      </x:c>
      <x:c r="S28" s="34" t="str">
        <x:v>edge↑</x:v>
      </x:c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2" t="n">
        <x:v>12</x:v>
      </x:c>
      <x:c r="K29" s="33" t="str">
        <x:v>기본</x:v>
      </x:c>
      <x:c r="L29" s="33" t="n">
        <x:v>2</x:v>
      </x:c>
      <x:c r="M29" s="236" t="n">
        <x:v>69.7</x:v>
      </x:c>
      <x:c r="N29" s="236" t="n">
        <x:v>7</x:v>
      </x:c>
      <x:c r="O29" s="33" t="str">
        <x:v>pale</x:v>
      </x:c>
      <x:c r="P29" s="33" t="str">
        <x:v>N</x:v>
      </x:c>
      <x:c r="Q29" s="33" t="n">
        <x:v>2.6</x:v>
      </x:c>
      <x:c r="R29" s="33" t="n">
        <x:v>6.6</x:v>
      </x:c>
      <x:c r="S29" s="34" t="str">
        <x:v>-</x:v>
      </x:c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2" t="n">
        <x:v>12</x:v>
      </x:c>
      <x:c r="K30" s="33" t="str">
        <x:v>럼</x:v>
      </x:c>
      <x:c r="L30" s="33" t="n">
        <x:v>1</x:v>
      </x:c>
      <x:c r="M30" s="236" t="n">
        <x:v>69.8</x:v>
      </x:c>
      <x:c r="N30" s="236" t="n">
        <x:v>7.7</x:v>
      </x:c>
      <x:c r="O30" s="33" t="str">
        <x:v>dark edge</x:v>
      </x:c>
      <x:c r="P30" s="33" t="str">
        <x:v>N</x:v>
      </x:c>
      <x:c r="Q30" s="33" t="n">
        <x:v>3.3</x:v>
      </x:c>
      <x:c r="R30" s="33" t="n">
        <x:v>6.8</x:v>
      </x:c>
      <x:c r="S30" s="34" t="str">
        <x:v>edge↑</x:v>
      </x:c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2" t="n">
        <x:v>12</x:v>
      </x:c>
      <x:c r="K31" s="33" t="str">
        <x:v>럼</x:v>
      </x:c>
      <x:c r="L31" s="33" t="n">
        <x:v>2</x:v>
      </x:c>
      <x:c r="M31" s="236" t="n">
        <x:v>70.7</x:v>
      </x:c>
      <x:c r="N31" s="236" t="n">
        <x:v>7.8</x:v>
      </x:c>
      <x:c r="O31" s="33" t="str">
        <x:v>gold</x:v>
      </x:c>
      <x:c r="P31" s="33" t="str">
        <x:v>N</x:v>
      </x:c>
      <x:c r="Q31" s="33" t="n">
        <x:v>3.6</x:v>
      </x:c>
      <x:c r="R31" s="33" t="n">
        <x:v>6.5</x:v>
      </x:c>
      <x:c r="S31" s="34" t="str">
        <x:v>edge↑</x:v>
      </x:c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2" t="n">
        <x:v>12</x:v>
      </x:c>
      <x:c r="K32" s="33" t="str">
        <x:v>슈가coat</x:v>
      </x:c>
      <x:c r="L32" s="33" t="n">
        <x:v>1</x:v>
      </x:c>
      <x:c r="M32" s="236" t="n">
        <x:v>71</x:v>
      </x:c>
      <x:c r="N32" s="236" t="n">
        <x:v>8.4</x:v>
      </x:c>
      <x:c r="O32" s="33" t="str">
        <x:v>dark edge</x:v>
      </x:c>
      <x:c r="P32" s="33" t="str">
        <x:v>N</x:v>
      </x:c>
      <x:c r="Q32" s="33" t="n">
        <x:v>3.8</x:v>
      </x:c>
      <x:c r="R32" s="33" t="n">
        <x:v>6.6</x:v>
      </x:c>
      <x:c r="S32" s="34" t="str">
        <x:v>edge↑</x:v>
      </x:c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2" t="n">
        <x:v>12</x:v>
      </x:c>
      <x:c r="K33" s="33" t="str">
        <x:v>슈가coat</x:v>
      </x:c>
      <x:c r="L33" s="33" t="n">
        <x:v>2</x:v>
      </x:c>
      <x:c r="M33" s="236" t="n">
        <x:v>71</x:v>
      </x:c>
      <x:c r="N33" s="236" t="n">
        <x:v>8.2</x:v>
      </x:c>
      <x:c r="O33" s="33" t="str">
        <x:v>dark edge</x:v>
      </x:c>
      <x:c r="P33" s="33" t="str">
        <x:v>Y</x:v>
      </x:c>
      <x:c r="Q33" s="33" t="n">
        <x:v>4</x:v>
      </x:c>
      <x:c r="R33" s="33" t="n">
        <x:v>6.7</x:v>
      </x:c>
      <x:c r="S33" s="34" t="str">
        <x:v>dome good</x:v>
      </x:c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2" t="n">
        <x:v>12</x:v>
      </x:c>
      <x:c r="K34" s="33" t="str">
        <x:v>아몬드T</x:v>
      </x:c>
      <x:c r="L34" s="33" t="n">
        <x:v>1</x:v>
      </x:c>
      <x:c r="M34" s="236" t="n">
        <x:v>71.6</x:v>
      </x:c>
      <x:c r="N34" s="236" t="n">
        <x:v>8.3</x:v>
      </x:c>
      <x:c r="O34" s="33" t="str">
        <x:v>pale</x:v>
      </x:c>
      <x:c r="P34" s="33" t="str">
        <x:v>N</x:v>
      </x:c>
      <x:c r="Q34" s="33" t="n">
        <x:v>2.7</x:v>
      </x:c>
      <x:c r="R34" s="33" t="n">
        <x:v>6.6</x:v>
      </x:c>
      <x:c r="S34" s="34" t="str">
        <x:v>edge↑</x:v>
      </x:c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2" t="n">
        <x:v>12</x:v>
      </x:c>
      <x:c r="K35" s="33" t="str">
        <x:v>아몬드T</x:v>
      </x:c>
      <x:c r="L35" s="33" t="n">
        <x:v>2</x:v>
      </x:c>
      <x:c r="M35" s="236" t="n">
        <x:v>71.3</x:v>
      </x:c>
      <x:c r="N35" s="236" t="n">
        <x:v>8.8</x:v>
      </x:c>
      <x:c r="O35" s="33" t="str">
        <x:v>dark edge</x:v>
      </x:c>
      <x:c r="P35" s="33" t="str">
        <x:v>N</x:v>
      </x:c>
      <x:c r="Q35" s="33" t="n">
        <x:v>4.5</x:v>
      </x:c>
      <x:c r="R35" s="33" t="n">
        <x:v>6.4</x:v>
      </x:c>
      <x:c r="S35" s="34" t="str">
        <x:v>사진</x:v>
      </x:c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2" t="n">
        <x:v>15</x:v>
      </x:c>
      <x:c r="K36" s="33" t="str">
        <x:v>기본</x:v>
      </x:c>
      <x:c r="L36" s="33" t="n">
        <x:v>1</x:v>
      </x:c>
      <x:c r="M36" s="236" t="n">
        <x:v>80.1</x:v>
      </x:c>
      <x:c r="N36" s="236" t="n">
        <x:v>8.7</x:v>
      </x:c>
      <x:c r="O36" s="33" t="str">
        <x:v>gold</x:v>
      </x:c>
      <x:c r="P36" s="33" t="str">
        <x:v>N</x:v>
      </x:c>
      <x:c r="Q36" s="33" t="n">
        <x:v>3.1</x:v>
      </x:c>
      <x:c r="R36" s="33" t="n">
        <x:v>8.2</x:v>
      </x:c>
      <x:c r="S36" s="34" t="str">
        <x:v>edge↑</x:v>
      </x:c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2" t="n">
        <x:v>15</x:v>
      </x:c>
      <x:c r="K37" s="33" t="str">
        <x:v>기본</x:v>
      </x:c>
      <x:c r="L37" s="33" t="n">
        <x:v>2</x:v>
      </x:c>
      <x:c r="M37" s="236" t="n">
        <x:v>80.1</x:v>
      </x:c>
      <x:c r="N37" s="236" t="n">
        <x:v>8.5</x:v>
      </x:c>
      <x:c r="O37" s="33" t="str">
        <x:v>pale</x:v>
      </x:c>
      <x:c r="P37" s="33" t="str">
        <x:v>N</x:v>
      </x:c>
      <x:c r="Q37" s="33" t="n">
        <x:v>2.6</x:v>
      </x:c>
      <x:c r="R37" s="33" t="n">
        <x:v>8</x:v>
      </x:c>
      <x:c r="S37" s="34" t="str">
        <x:v>사진</x:v>
      </x:c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2" t="n">
        <x:v>15</x:v>
      </x:c>
      <x:c r="K38" s="33" t="str">
        <x:v>아몬드T</x:v>
      </x:c>
      <x:c r="L38" s="33" t="n">
        <x:v>1</x:v>
      </x:c>
      <x:c r="M38" s="236" t="n">
        <x:v>81.2</x:v>
      </x:c>
      <x:c r="N38" s="236" t="n">
        <x:v>8.9</x:v>
      </x:c>
      <x:c r="O38" s="33" t="str">
        <x:v>dark edge</x:v>
      </x:c>
      <x:c r="P38" s="33" t="str">
        <x:v>N</x:v>
      </x:c>
      <x:c r="Q38" s="33" t="n">
        <x:v>4.1</x:v>
      </x:c>
      <x:c r="R38" s="33" t="n">
        <x:v>7.9</x:v>
      </x:c>
      <x:c r="S38" s="34" t="str">
        <x:v>dome good</x:v>
      </x:c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2" t="n">
        <x:v>15</x:v>
      </x:c>
      <x:c r="K39" s="33" t="str">
        <x:v>아몬드T</x:v>
      </x:c>
      <x:c r="L39" s="33" t="n">
        <x:v>2</x:v>
      </x:c>
      <x:c r="M39" s="236" t="n">
        <x:v>81.4</x:v>
      </x:c>
      <x:c r="N39" s="236" t="n">
        <x:v>9</x:v>
      </x:c>
      <x:c r="O39" s="33" t="str">
        <x:v>dark edge</x:v>
      </x:c>
      <x:c r="P39" s="33" t="str">
        <x:v>N</x:v>
      </x:c>
      <x:c r="Q39" s="33" t="n">
        <x:v>4.9</x:v>
      </x:c>
      <x:c r="R39" s="33" t="n">
        <x:v>8.3</x:v>
      </x:c>
      <x:c r="S39" s="34" t="str">
        <x:v>사진</x:v>
      </x:c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2" t="n">
        <x:v>18</x:v>
      </x:c>
      <x:c r="K40" s="33" t="str">
        <x:v>기본</x:v>
      </x:c>
      <x:c r="L40" s="33" t="n">
        <x:v>1</x:v>
      </x:c>
      <x:c r="M40" s="236" t="n">
        <x:v>91.7</x:v>
      </x:c>
      <x:c r="N40" s="236" t="n">
        <x:v>10.4</x:v>
      </x:c>
      <x:c r="O40" s="33" t="str">
        <x:v>brown</x:v>
      </x:c>
      <x:c r="P40" s="33" t="str">
        <x:v>Y</x:v>
      </x:c>
      <x:c r="Q40" s="33" t="n">
        <x:v>4.8</x:v>
      </x:c>
      <x:c r="R40" s="33" t="n">
        <x:v>9.6</x:v>
      </x:c>
      <x:c r="S40" s="34" t="str">
        <x:v>사진</x:v>
      </x:c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2" t="n">
        <x:v>18</x:v>
      </x:c>
      <x:c r="K41" s="33" t="str">
        <x:v>기본</x:v>
      </x:c>
      <x:c r="L41" s="33" t="n">
        <x:v>2</x:v>
      </x:c>
      <x:c r="M41" s="236" t="n">
        <x:v>91.3</x:v>
      </x:c>
      <x:c r="N41" s="236" t="n">
        <x:v>10</x:v>
      </x:c>
      <x:c r="O41" s="33" t="str">
        <x:v>pale</x:v>
      </x:c>
      <x:c r="P41" s="33" t="str">
        <x:v>N</x:v>
      </x:c>
      <x:c r="Q41" s="33" t="n">
        <x:v>3.2</x:v>
      </x:c>
      <x:c r="R41" s="33" t="n">
        <x:v>9.9</x:v>
      </x:c>
      <x:c r="S41" s="34" t="str">
        <x:v>dome good</x:v>
      </x:c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2" t="n">
        <x:v>18</x:v>
      </x:c>
      <x:c r="K42" s="33" t="str">
        <x:v>럼</x:v>
      </x:c>
      <x:c r="L42" s="33" t="n">
        <x:v>1</x:v>
      </x:c>
      <x:c r="M42" s="236" t="n">
        <x:v>92.3</x:v>
      </x:c>
      <x:c r="N42" s="236" t="n">
        <x:v>10.4</x:v>
      </x:c>
      <x:c r="O42" s="33" t="str">
        <x:v>dark edge</x:v>
      </x:c>
      <x:c r="P42" s="33" t="str">
        <x:v>Y</x:v>
      </x:c>
      <x:c r="Q42" s="33" t="n">
        <x:v>2.9</x:v>
      </x:c>
      <x:c r="R42" s="33" t="n">
        <x:v>10</x:v>
      </x:c>
      <x:c r="S42" s="34" t="str">
        <x:v>사진</x:v>
      </x:c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2" t="n">
        <x:v>18</x:v>
      </x:c>
      <x:c r="K43" s="33" t="str">
        <x:v>럼</x:v>
      </x:c>
      <x:c r="L43" s="33" t="n">
        <x:v>2</x:v>
      </x:c>
      <x:c r="M43" s="236" t="n">
        <x:v>92.4</x:v>
      </x:c>
      <x:c r="N43" s="236" t="n">
        <x:v>10.6</x:v>
      </x:c>
      <x:c r="O43" s="33" t="str">
        <x:v>dark edge</x:v>
      </x:c>
      <x:c r="P43" s="33" t="str">
        <x:v>N</x:v>
      </x:c>
      <x:c r="Q43" s="33" t="n">
        <x:v>3.2</x:v>
      </x:c>
      <x:c r="R43" s="33" t="n">
        <x:v>9.6</x:v>
      </x:c>
      <x:c r="S43" s="34" t="str">
        <x:v>edge↑</x:v>
      </x:c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2" t="n">
        <x:v>18</x:v>
      </x:c>
      <x:c r="K44" s="33" t="str">
        <x:v>슈가coat</x:v>
      </x:c>
      <x:c r="L44" s="33" t="n">
        <x:v>1</x:v>
      </x:c>
      <x:c r="M44" s="236" t="n">
        <x:v>93</x:v>
      </x:c>
      <x:c r="N44" s="236" t="n">
        <x:v>10.9</x:v>
      </x:c>
      <x:c r="O44" s="33" t="str">
        <x:v>pale</x:v>
      </x:c>
      <x:c r="P44" s="33" t="str">
        <x:v>Y</x:v>
      </x:c>
      <x:c r="Q44" s="33" t="n">
        <x:v>3.9</x:v>
      </x:c>
      <x:c r="R44" s="33" t="n">
        <x:v>9.9</x:v>
      </x:c>
      <x:c r="S44" s="34" t="str">
        <x:v>dome good</x:v>
      </x:c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2" t="n">
        <x:v>18</x:v>
      </x:c>
      <x:c r="K45" s="33" t="str">
        <x:v>슈가coat</x:v>
      </x:c>
      <x:c r="L45" s="33" t="n">
        <x:v>2</x:v>
      </x:c>
      <x:c r="M45" s="236" t="n">
        <x:v>92.7</x:v>
      </x:c>
      <x:c r="N45" s="236" t="n">
        <x:v>10.7</x:v>
      </x:c>
      <x:c r="O45" s="33" t="str">
        <x:v>brown</x:v>
      </x:c>
      <x:c r="P45" s="33" t="str">
        <x:v>N</x:v>
      </x:c>
      <x:c r="Q45" s="33" t="n">
        <x:v>5</x:v>
      </x:c>
      <x:c r="R45" s="33" t="n">
        <x:v>10.1</x:v>
      </x:c>
      <x:c r="S45" s="34" t="str">
        <x:v>dome good</x:v>
      </x:c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2" t="n">
        <x:v>18</x:v>
      </x:c>
      <x:c r="K46" s="33" t="str">
        <x:v>아몬드T</x:v>
      </x:c>
      <x:c r="L46" s="33" t="n">
        <x:v>1</x:v>
      </x:c>
      <x:c r="M46" s="236" t="n">
        <x:v>93.4</x:v>
      </x:c>
      <x:c r="N46" s="236" t="n">
        <x:v>11.5</x:v>
      </x:c>
      <x:c r="O46" s="33" t="str">
        <x:v>pale</x:v>
      </x:c>
      <x:c r="P46" s="33" t="str">
        <x:v>Y</x:v>
      </x:c>
      <x:c r="Q46" s="33" t="n">
        <x:v>4.9</x:v>
      </x:c>
      <x:c r="R46" s="33" t="n">
        <x:v>9.9</x:v>
      </x:c>
      <x:c r="S46" s="34" t="str">
        <x:v>사진</x:v>
      </x:c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2" t="n">
        <x:v>18</x:v>
      </x:c>
      <x:c r="K47" s="33" t="str">
        <x:v>아몬드T</x:v>
      </x:c>
      <x:c r="L47" s="33" t="n">
        <x:v>2</x:v>
      </x:c>
      <x:c r="M47" s="236" t="n">
        <x:v>93.5</x:v>
      </x:c>
      <x:c r="N47" s="236" t="n">
        <x:v>11.2</x:v>
      </x:c>
      <x:c r="O47" s="33" t="str">
        <x:v>dark edge</x:v>
      </x:c>
      <x:c r="P47" s="33" t="str">
        <x:v>Y</x:v>
      </x:c>
      <x:c r="Q47" s="33" t="n">
        <x:v>4.5</x:v>
      </x:c>
      <x:c r="R47" s="33" t="n">
        <x:v>9.8</x:v>
      </x:c>
      <x:c r="S47" s="34" t="str">
        <x:v>-</x:v>
      </x:c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2" t="n">
        <x:v>21</x:v>
      </x:c>
      <x:c r="K48" s="33" t="str">
        <x:v>기본</x:v>
      </x:c>
      <x:c r="L48" s="33" t="n">
        <x:v>1</x:v>
      </x:c>
      <x:c r="M48" s="236" t="n">
        <x:v>99.4</x:v>
      </x:c>
      <x:c r="N48" s="236" t="n">
        <x:v>11.2</x:v>
      </x:c>
      <x:c r="O48" s="33" t="str">
        <x:v>pale</x:v>
      </x:c>
      <x:c r="P48" s="33" t="str">
        <x:v>N</x:v>
      </x:c>
      <x:c r="Q48" s="33" t="n">
        <x:v>2.6</x:v>
      </x:c>
      <x:c r="R48" s="33" t="n">
        <x:v>11.7</x:v>
      </x:c>
      <x:c r="S48" s="34" t="str">
        <x:v>사진</x:v>
      </x:c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2" t="n">
        <x:v>21</x:v>
      </x:c>
      <x:c r="K49" s="33" t="str">
        <x:v>기본</x:v>
      </x:c>
      <x:c r="L49" s="33" t="n">
        <x:v>2</x:v>
      </x:c>
      <x:c r="M49" s="236" t="n">
        <x:v>99.4</x:v>
      </x:c>
      <x:c r="N49" s="236" t="n">
        <x:v>11.2</x:v>
      </x:c>
      <x:c r="O49" s="33" t="str">
        <x:v>dark edge</x:v>
      </x:c>
      <x:c r="P49" s="33" t="str">
        <x:v>N</x:v>
      </x:c>
      <x:c r="Q49" s="33" t="n">
        <x:v>3.1</x:v>
      </x:c>
      <x:c r="R49" s="33" t="n">
        <x:v>11.1</x:v>
      </x:c>
      <x:c r="S49" s="34" t="str">
        <x:v>-</x:v>
      </x:c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2" t="n">
        <x:v>21</x:v>
      </x:c>
      <x:c r="K50" s="33" t="str">
        <x:v>럼</x:v>
      </x:c>
      <x:c r="L50" s="33" t="n">
        <x:v>1</x:v>
      </x:c>
      <x:c r="M50" s="236" t="n">
        <x:v>99.4</x:v>
      </x:c>
      <x:c r="N50" s="236" t="n">
        <x:v>11.6</x:v>
      </x:c>
      <x:c r="O50" s="33" t="str">
        <x:v>pale</x:v>
      </x:c>
      <x:c r="P50" s="33" t="str">
        <x:v>N</x:v>
      </x:c>
      <x:c r="Q50" s="33" t="n">
        <x:v>4.9</x:v>
      </x:c>
      <x:c r="R50" s="33" t="n">
        <x:v>11.3</x:v>
      </x:c>
      <x:c r="S50" s="34" t="str">
        <x:v>dome good</x:v>
      </x:c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5" t="n">
        <x:v>21</x:v>
      </x:c>
      <x:c r="K51" s="36" t="str">
        <x:v>럼</x:v>
      </x:c>
      <x:c r="L51" s="36" t="n">
        <x:v>2</x:v>
      </x:c>
      <x:c r="M51" s="237" t="n">
        <x:v>99.4</x:v>
      </x:c>
      <x:c r="N51" s="237" t="n">
        <x:v>11.9</x:v>
      </x:c>
      <x:c r="O51" s="36" t="str">
        <x:v>brown</x:v>
      </x:c>
      <x:c r="P51" s="36" t="str">
        <x:v>N</x:v>
      </x:c>
      <x:c r="Q51" s="36" t="n">
        <x:v>5</x:v>
      </x:c>
      <x:c r="R51" s="36" t="n">
        <x:v>11.1</x:v>
      </x:c>
      <x:c r="S51" s="37" t="str">
        <x:v>dome good</x:v>
      </x:c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</x:sheetData>
  <x:mergeCells>
    <x:mergeCell ref="D3:P4"/>
    <x:mergeCell ref="K8:K9"/>
    <x:mergeCell ref="J8:J9"/>
    <x:mergeCell ref="K10:K11"/>
    <x:mergeCell ref="J10:J11"/>
    <x:mergeCell ref="K12:K13"/>
    <x:mergeCell ref="J12:J13"/>
    <x:mergeCell ref="K14:K15"/>
    <x:mergeCell ref="J14:J15"/>
    <x:mergeCell ref="K16:K17"/>
    <x:mergeCell ref="J16:J17"/>
    <x:mergeCell ref="K18:K19"/>
    <x:mergeCell ref="J18:J19"/>
    <x:mergeCell ref="K20:K21"/>
    <x:mergeCell ref="J20:J21"/>
    <x:mergeCell ref="K22:K23"/>
    <x:mergeCell ref="J22:J23"/>
    <x:mergeCell ref="K24:K25"/>
    <x:mergeCell ref="J24:J25"/>
    <x:mergeCell ref="K26:K27"/>
    <x:mergeCell ref="J26:J27"/>
    <x:mergeCell ref="K28:K29"/>
    <x:mergeCell ref="J28:J29"/>
    <x:mergeCell ref="K30:K31"/>
    <x:mergeCell ref="J30:J31"/>
    <x:mergeCell ref="K32:K33"/>
    <x:mergeCell ref="J32:J33"/>
    <x:mergeCell ref="K34:K35"/>
    <x:mergeCell ref="J34:J35"/>
    <x:mergeCell ref="K36:K37"/>
    <x:mergeCell ref="J36:J37"/>
    <x:mergeCell ref="K38:K39"/>
    <x:mergeCell ref="J38:J39"/>
    <x:mergeCell ref="K40:K41"/>
    <x:mergeCell ref="J40:J41"/>
    <x:mergeCell ref="K42:K43"/>
    <x:mergeCell ref="J42:J43"/>
    <x:mergeCell ref="K44:K45"/>
    <x:mergeCell ref="J44:J45"/>
    <x:mergeCell ref="K46:K47"/>
    <x:mergeCell ref="J46:J47"/>
    <x:mergeCell ref="K48:K49"/>
    <x:mergeCell ref="J48:J49"/>
    <x:mergeCell ref="K50:K51"/>
    <x:mergeCell ref="J50:J51"/>
  </x:mergeCells>
  <x:pageMargins left="0.7" right="0.7" top="0.75" bottom="0.75" header="0.3" footer="0.3"/>
  <x:drawing xmlns:r="http://schemas.openxmlformats.org/officeDocument/2006/relationships" r:id="R7e78ef1c272f4eb7"/>
</x:worksheet>
</file>

<file path=xl/worksheets/sheet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1">
      <x:c r="A1" s="33"/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33"/>
      <x:c r="B3" s="33"/>
      <x:c r="C3" s="33"/>
      <x:c r="D3" s="170" t="str">
        <x:v>오리지날  OVEN=195℃ / 실험기록</x:v>
      </x:c>
      <x:c r="E3" s="171"/>
      <x:c r="F3" s="171"/>
      <x:c r="G3" s="171"/>
      <x:c r="H3" s="171"/>
      <x:c r="I3" s="171"/>
      <x:c r="J3" s="171"/>
      <x:c r="K3" s="171"/>
      <x:c r="L3" s="171"/>
      <x:c r="M3" s="171"/>
      <x:c r="N3" s="171"/>
      <x:c r="O3" s="171"/>
      <x:c r="P3" s="172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33"/>
      <x:c r="B4" s="33"/>
      <x:c r="C4" s="33"/>
      <x:c r="D4" s="173"/>
      <x:c r="E4" s="174"/>
      <x:c r="F4" s="174"/>
      <x:c r="G4" s="174"/>
      <x:c r="H4" s="174"/>
      <x:c r="I4" s="174"/>
      <x:c r="J4" s="174"/>
      <x:c r="K4" s="174"/>
      <x:c r="L4" s="174"/>
      <x:c r="M4" s="174"/>
      <x:c r="N4" s="174"/>
      <x:c r="O4" s="174"/>
      <x:c r="P4" s="175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3"/>
      <x:c r="B6" s="33"/>
      <x:c r="C6" s="33"/>
      <x:c r="D6" s="29" t="str">
        <x:v>batch</x:v>
      </x:c>
      <x:c r="E6" s="30" t="str">
        <x:v>오-195-A</x:v>
      </x:c>
      <x:c r="F6" s="30" t="str">
        <x:v>fan</x:v>
      </x:c>
      <x:c r="G6" s="30" t="str">
        <x:v>약풍</x:v>
      </x:c>
      <x:c r="H6" s="31" t="str">
        <x:v>memo</x:v>
      </x:c>
      <x:c r="I6" s="33"/>
      <x:c r="J6" s="58" t="str">
        <x:v>Time</x:v>
      </x:c>
      <x:c r="K6" s="59" t="str">
        <x:v>Add-in</x:v>
      </x:c>
      <x:c r="L6" s="59" t="str">
        <x:v>rep</x:v>
      </x:c>
      <x:c r="M6" s="59" t="str">
        <x:v>core T</x:v>
      </x:c>
      <x:c r="N6" s="59" t="str">
        <x:v>rise</x:v>
      </x:c>
      <x:c r="O6" s="59" t="str">
        <x:v>surface</x:v>
      </x:c>
      <x:c r="P6" s="59" t="str">
        <x:v>crack</x:v>
      </x:c>
      <x:c r="Q6" s="59" t="str">
        <x:v>moist</x:v>
      </x:c>
      <x:c r="R6" s="59" t="str">
        <x:v>loss</x:v>
      </x:c>
      <x:c r="S6" s="60" t="str">
        <x:v>memo</x:v>
      </x:c>
      <x:c r="T6" s="33"/>
      <x:c r="U6" s="33"/>
      <x:c r="V6" s="33"/>
      <x:c r="W6" s="33"/>
      <x:c r="X6" s="33"/>
      <x:c r="Y6" s="33"/>
      <x:c r="Z6" s="33"/>
    </x:row>
    <x:row r="7">
      <x:c r="A7" s="33"/>
      <x:c r="B7" s="33"/>
      <x:c r="C7" s="33"/>
      <x:c r="D7" s="32" t="str">
        <x:v>실내</x:v>
      </x:c>
      <x:c r="E7" s="33" t="str">
        <x:v>24℃</x:v>
      </x:c>
      <x:c r="F7" s="33" t="str">
        <x:v>반죽숙성</x:v>
      </x:c>
      <x:c r="G7" s="33" t="str">
        <x:v>8h</x:v>
      </x:c>
      <x:c r="H7" s="34" t="str">
        <x:v>수기</x:v>
      </x:c>
      <x:c r="I7" s="33"/>
      <x:c r="J7" s="212" t="str">
        <x:v>min</x:v>
      </x:c>
      <x:c r="K7" s="213" t="str">
        <x:v>조건</x:v>
      </x:c>
      <x:c r="L7" s="213" t="str">
        <x:v>#</x:v>
      </x:c>
      <x:c r="M7" s="213" t="str">
        <x:v>℃</x:v>
      </x:c>
      <x:c r="N7" s="213" t="str">
        <x:v>mm</x:v>
      </x:c>
      <x:c r="O7" s="213" t="str">
        <x:v>visual</x:v>
      </x:c>
      <x:c r="P7" s="213" t="str">
        <x:v>Y/N</x:v>
      </x:c>
      <x:c r="Q7" s="213" t="str">
        <x:v>1~5</x:v>
      </x:c>
      <x:c r="R7" s="213" t="str">
        <x:v>%</x:v>
      </x:c>
      <x:c r="S7" s="214" t="str"/>
      <x:c r="T7" s="33"/>
      <x:c r="U7" s="33"/>
      <x:c r="V7" s="33"/>
      <x:c r="W7" s="33"/>
      <x:c r="X7" s="33"/>
      <x:c r="Y7" s="33"/>
      <x:c r="Z7" s="33"/>
    </x:row>
    <x:row r="8">
      <x:c r="A8" s="33"/>
      <x:c r="B8" s="33"/>
      <x:c r="C8" s="33"/>
      <x:c r="D8" s="32" t="str">
        <x:v>몰드</x:v>
      </x:c>
      <x:c r="E8" s="33" t="str">
        <x:v>12구</x:v>
      </x:c>
      <x:c r="F8" s="33" t="str">
        <x:v>probe</x:v>
      </x:c>
      <x:c r="G8" s="33" t="str">
        <x:v>center</x:v>
      </x:c>
      <x:c r="H8" s="34" t="str">
        <x:v>K-type</x:v>
      </x:c>
      <x:c r="I8" s="33"/>
      <x:c r="J8" s="29" t="n">
        <x:v>0</x:v>
      </x:c>
      <x:c r="K8" s="30" t="str">
        <x:v>기본</x:v>
      </x:c>
      <x:c r="L8" s="30" t="n">
        <x:v>1</x:v>
      </x:c>
      <x:c r="M8" s="235" t="n">
        <x:v>28.7</x:v>
      </x:c>
      <x:c r="N8" s="235" t="n">
        <x:v>2.1</x:v>
      </x:c>
      <x:c r="O8" s="30" t="str">
        <x:v>gold</x:v>
      </x:c>
      <x:c r="P8" s="30" t="str">
        <x:v>N</x:v>
      </x:c>
      <x:c r="Q8" s="30" t="n">
        <x:v>3.8</x:v>
      </x:c>
      <x:c r="R8" s="30" t="n">
        <x:v>0.7</x:v>
      </x:c>
      <x:c r="S8" s="31" t="str">
        <x:v>-</x:v>
      </x:c>
      <x:c r="T8" s="33"/>
      <x:c r="U8" s="33"/>
      <x:c r="V8" s="33"/>
      <x:c r="W8" s="33"/>
      <x:c r="X8" s="33"/>
      <x:c r="Y8" s="33"/>
      <x:c r="Z8" s="33"/>
    </x:row>
    <x:row r="9">
      <x:c r="A9" s="33"/>
      <x:c r="B9" s="33"/>
      <x:c r="C9" s="33"/>
      <x:c r="D9" s="32" t="str">
        <x:v>note</x:v>
      </x:c>
      <x:c r="E9" s="33" t="str">
        <x:v>같은 시간 여러 부재료는 merge</x:v>
      </x:c>
      <x:c r="F9" s="33" t="str"/>
      <x:c r="G9" s="33" t="str"/>
      <x:c r="H9" s="34" t="str"/>
      <x:c r="I9" s="33"/>
      <x:c r="J9" s="32" t="n">
        <x:v>0</x:v>
      </x:c>
      <x:c r="K9" s="33" t="str">
        <x:v>기본</x:v>
      </x:c>
      <x:c r="L9" s="33" t="n">
        <x:v>2</x:v>
      </x:c>
      <x:c r="M9" s="236" t="n">
        <x:v>28.4</x:v>
      </x:c>
      <x:c r="N9" s="236" t="n">
        <x:v>1.7</x:v>
      </x:c>
      <x:c r="O9" s="33" t="str">
        <x:v>pale</x:v>
      </x:c>
      <x:c r="P9" s="33" t="str">
        <x:v>N</x:v>
      </x:c>
      <x:c r="Q9" s="33" t="n">
        <x:v>3.9</x:v>
      </x:c>
      <x:c r="R9" s="33" t="n">
        <x:v>0.9</x:v>
      </x:c>
      <x:c r="S9" s="34" t="str">
        <x:v>사진</x:v>
      </x:c>
      <x:c r="T9" s="33"/>
      <x:c r="U9" s="33"/>
      <x:c r="V9" s="33"/>
      <x:c r="W9" s="33"/>
      <x:c r="X9" s="33"/>
      <x:c r="Y9" s="33"/>
      <x:c r="Z9" s="33"/>
    </x:row>
    <x:row r="10">
      <x:c r="A10" s="33"/>
      <x:c r="B10" s="33"/>
      <x:c r="C10" s="33"/>
      <x:c r="D10" s="35" t="str">
        <x:v>operator</x:v>
      </x:c>
      <x:c r="E10" s="36" t="str">
        <x:v>KIM</x:v>
      </x:c>
      <x:c r="F10" s="36" t="str">
        <x:v>n</x:v>
      </x:c>
      <x:c r="G10" s="36" t="str">
        <x:v>2</x:v>
      </x:c>
      <x:c r="H10" s="37" t="str"/>
      <x:c r="I10" s="33"/>
      <x:c r="J10" s="32" t="n">
        <x:v>0</x:v>
      </x:c>
      <x:c r="K10" s="33" t="str">
        <x:v>럼</x:v>
      </x:c>
      <x:c r="L10" s="33" t="n">
        <x:v>1</x:v>
      </x:c>
      <x:c r="M10" s="236" t="n">
        <x:v>28.5</x:v>
      </x:c>
      <x:c r="N10" s="236" t="n">
        <x:v>2.5</x:v>
      </x:c>
      <x:c r="O10" s="33" t="str">
        <x:v>gold</x:v>
      </x:c>
      <x:c r="P10" s="33" t="str">
        <x:v>Y</x:v>
      </x:c>
      <x:c r="Q10" s="33" t="n">
        <x:v>4.3</x:v>
      </x:c>
      <x:c r="R10" s="33" t="n">
        <x:v>1</x:v>
      </x:c>
      <x:c r="S10" s="34" t="str">
        <x:v>edge↑</x:v>
      </x:c>
      <x:c r="T10" s="33"/>
      <x:c r="U10" s="33"/>
      <x:c r="V10" s="33"/>
      <x:c r="W10" s="33"/>
      <x:c r="X10" s="33"/>
      <x:c r="Y10" s="33"/>
      <x:c r="Z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2" t="n">
        <x:v>0</x:v>
      </x:c>
      <x:c r="K11" s="33" t="str">
        <x:v>럼</x:v>
      </x:c>
      <x:c r="L11" s="33" t="n">
        <x:v>2</x:v>
      </x:c>
      <x:c r="M11" s="236" t="n">
        <x:v>29.2</x:v>
      </x:c>
      <x:c r="N11" s="236" t="n">
        <x:v>2</x:v>
      </x:c>
      <x:c r="O11" s="33" t="str">
        <x:v>dark edge</x:v>
      </x:c>
      <x:c r="P11" s="33" t="str">
        <x:v>Y</x:v>
      </x:c>
      <x:c r="Q11" s="33" t="n">
        <x:v>2.8</x:v>
      </x:c>
      <x:c r="R11" s="33" t="n">
        <x:v>0.7</x:v>
      </x:c>
      <x:c r="S11" s="34" t="str">
        <x:v>dome good</x:v>
      </x:c>
      <x:c r="T11" s="33"/>
      <x:c r="U11" s="33"/>
      <x:c r="V11" s="33"/>
      <x:c r="W11" s="33"/>
      <x:c r="X11" s="33"/>
      <x:c r="Y11" s="33"/>
      <x:c r="Z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2" t="n">
        <x:v>3</x:v>
      </x:c>
      <x:c r="K12" s="33" t="str">
        <x:v>기본</x:v>
      </x:c>
      <x:c r="L12" s="33" t="n">
        <x:v>1</x:v>
      </x:c>
      <x:c r="M12" s="236" t="n">
        <x:v>39.2</x:v>
      </x:c>
      <x:c r="N12" s="236" t="n">
        <x:v>3.7</x:v>
      </x:c>
      <x:c r="O12" s="33" t="str">
        <x:v>brown</x:v>
      </x:c>
      <x:c r="P12" s="33" t="str">
        <x:v>N</x:v>
      </x:c>
      <x:c r="Q12" s="33" t="n">
        <x:v>4.4</x:v>
      </x:c>
      <x:c r="R12" s="33" t="n">
        <x:v>1.9</x:v>
      </x:c>
      <x:c r="S12" s="34" t="str">
        <x:v>-</x:v>
      </x:c>
      <x:c r="T12" s="33"/>
      <x:c r="U12" s="33"/>
      <x:c r="V12" s="33"/>
      <x:c r="W12" s="33"/>
      <x:c r="X12" s="33"/>
      <x:c r="Y12" s="33"/>
      <x:c r="Z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2" t="n">
        <x:v>3</x:v>
      </x:c>
      <x:c r="K13" s="33" t="str">
        <x:v>기본</x:v>
      </x:c>
      <x:c r="L13" s="33" t="n">
        <x:v>2</x:v>
      </x:c>
      <x:c r="M13" s="236" t="n">
        <x:v>38.9</x:v>
      </x:c>
      <x:c r="N13" s="236" t="n">
        <x:v>3.3</x:v>
      </x:c>
      <x:c r="O13" s="33" t="str">
        <x:v>dark edge</x:v>
      </x:c>
      <x:c r="P13" s="33" t="str">
        <x:v>N</x:v>
      </x:c>
      <x:c r="Q13" s="33" t="n">
        <x:v>2.6</x:v>
      </x:c>
      <x:c r="R13" s="33" t="n">
        <x:v>2.2</x:v>
      </x:c>
      <x:c r="S13" s="34" t="str">
        <x:v>사진</x:v>
      </x:c>
      <x:c r="T13" s="33"/>
      <x:c r="U13" s="33"/>
      <x:c r="V13" s="33"/>
      <x:c r="W13" s="33"/>
      <x:c r="X13" s="33"/>
      <x:c r="Y13" s="33"/>
      <x:c r="Z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2" t="n">
        <x:v>3</x:v>
      </x:c>
      <x:c r="K14" s="33" t="str">
        <x:v>아몬드T</x:v>
      </x:c>
      <x:c r="L14" s="33" t="n">
        <x:v>1</x:v>
      </x:c>
      <x:c r="M14" s="236" t="n">
        <x:v>39.9</x:v>
      </x:c>
      <x:c r="N14" s="236" t="n">
        <x:v>3.6</x:v>
      </x:c>
      <x:c r="O14" s="33" t="str">
        <x:v>brown</x:v>
      </x:c>
      <x:c r="P14" s="33" t="str">
        <x:v>N</x:v>
      </x:c>
      <x:c r="Q14" s="33" t="n">
        <x:v>3</x:v>
      </x:c>
      <x:c r="R14" s="33" t="n">
        <x:v>1.9</x:v>
      </x:c>
      <x:c r="S14" s="34" t="str">
        <x:v>-</x:v>
      </x:c>
      <x:c r="T14" s="33"/>
      <x:c r="U14" s="33"/>
      <x:c r="V14" s="33"/>
      <x:c r="W14" s="33"/>
      <x:c r="X14" s="33"/>
      <x:c r="Y14" s="33"/>
      <x:c r="Z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2" t="n">
        <x:v>3</x:v>
      </x:c>
      <x:c r="K15" s="33" t="str">
        <x:v>아몬드T</x:v>
      </x:c>
      <x:c r="L15" s="33" t="n">
        <x:v>2</x:v>
      </x:c>
      <x:c r="M15" s="236" t="n">
        <x:v>40</x:v>
      </x:c>
      <x:c r="N15" s="236" t="n">
        <x:v>4.1</x:v>
      </x:c>
      <x:c r="O15" s="33" t="str">
        <x:v>gold</x:v>
      </x:c>
      <x:c r="P15" s="33" t="str">
        <x:v>Y</x:v>
      </x:c>
      <x:c r="Q15" s="33" t="n">
        <x:v>3.9</x:v>
      </x:c>
      <x:c r="R15" s="33" t="n">
        <x:v>1.9</x:v>
      </x:c>
      <x:c r="S15" s="34" t="str">
        <x:v>-</x:v>
      </x:c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2" t="n">
        <x:v>6</x:v>
      </x:c>
      <x:c r="K16" s="33" t="str">
        <x:v>기본</x:v>
      </x:c>
      <x:c r="L16" s="33" t="n">
        <x:v>1</x:v>
      </x:c>
      <x:c r="M16" s="236" t="n">
        <x:v>48.9</x:v>
      </x:c>
      <x:c r="N16" s="236" t="n">
        <x:v>5</x:v>
      </x:c>
      <x:c r="O16" s="33" t="str">
        <x:v>dark edge</x:v>
      </x:c>
      <x:c r="P16" s="33" t="str">
        <x:v>N</x:v>
      </x:c>
      <x:c r="Q16" s="33" t="n">
        <x:v>2.9</x:v>
      </x:c>
      <x:c r="R16" s="33" t="n">
        <x:v>3.5</x:v>
      </x:c>
      <x:c r="S16" s="34" t="str">
        <x:v>dome good</x:v>
      </x:c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2" t="n">
        <x:v>6</x:v>
      </x:c>
      <x:c r="K17" s="33" t="str">
        <x:v>기본</x:v>
      </x:c>
      <x:c r="L17" s="33" t="n">
        <x:v>2</x:v>
      </x:c>
      <x:c r="M17" s="236" t="n">
        <x:v>50.4</x:v>
      </x:c>
      <x:c r="N17" s="236" t="n">
        <x:v>4.8</x:v>
      </x:c>
      <x:c r="O17" s="33" t="str">
        <x:v>brown</x:v>
      </x:c>
      <x:c r="P17" s="33" t="str">
        <x:v>Y</x:v>
      </x:c>
      <x:c r="Q17" s="33" t="n">
        <x:v>2.9</x:v>
      </x:c>
      <x:c r="R17" s="33" t="n">
        <x:v>4.1</x:v>
      </x:c>
      <x:c r="S17" s="34" t="str">
        <x:v>edge↑</x:v>
      </x:c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2" t="n">
        <x:v>6</x:v>
      </x:c>
      <x:c r="K18" s="33" t="str">
        <x:v>럼</x:v>
      </x:c>
      <x:c r="L18" s="33" t="n">
        <x:v>1</x:v>
      </x:c>
      <x:c r="M18" s="236" t="n">
        <x:v>50.4</x:v>
      </x:c>
      <x:c r="N18" s="236" t="n">
        <x:v>4.9</x:v>
      </x:c>
      <x:c r="O18" s="33" t="str">
        <x:v>pale</x:v>
      </x:c>
      <x:c r="P18" s="33" t="str">
        <x:v>Y</x:v>
      </x:c>
      <x:c r="Q18" s="33" t="n">
        <x:v>2.6</x:v>
      </x:c>
      <x:c r="R18" s="33" t="n">
        <x:v>3.7</x:v>
      </x:c>
      <x:c r="S18" s="34" t="str">
        <x:v>edge↑</x:v>
      </x:c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2" t="n">
        <x:v>6</x:v>
      </x:c>
      <x:c r="K19" s="33" t="str">
        <x:v>럼</x:v>
      </x:c>
      <x:c r="L19" s="33" t="n">
        <x:v>2</x:v>
      </x:c>
      <x:c r="M19" s="236" t="n">
        <x:v>50.7</x:v>
      </x:c>
      <x:c r="N19" s="236" t="n">
        <x:v>5.5</x:v>
      </x:c>
      <x:c r="O19" s="33" t="str">
        <x:v>pale</x:v>
      </x:c>
      <x:c r="P19" s="33" t="str">
        <x:v>Y</x:v>
      </x:c>
      <x:c r="Q19" s="33" t="n">
        <x:v>3.4</x:v>
      </x:c>
      <x:c r="R19" s="33" t="n">
        <x:v>3.8</x:v>
      </x:c>
      <x:c r="S19" s="34" t="str">
        <x:v>dome good</x:v>
      </x:c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2" t="n">
        <x:v>6</x:v>
      </x:c>
      <x:c r="K20" s="33" t="str">
        <x:v>슈가coat</x:v>
      </x:c>
      <x:c r="L20" s="33" t="n">
        <x:v>1</x:v>
      </x:c>
      <x:c r="M20" s="236" t="n">
        <x:v>50.6</x:v>
      </x:c>
      <x:c r="N20" s="236" t="n">
        <x:v>5.4</x:v>
      </x:c>
      <x:c r="O20" s="33" t="str">
        <x:v>dark edge</x:v>
      </x:c>
      <x:c r="P20" s="33" t="str">
        <x:v>N</x:v>
      </x:c>
      <x:c r="Q20" s="33" t="n">
        <x:v>4</x:v>
      </x:c>
      <x:c r="R20" s="33" t="n">
        <x:v>3.5</x:v>
      </x:c>
      <x:c r="S20" s="34" t="str">
        <x:v>edge↑</x:v>
      </x:c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2" t="n">
        <x:v>6</x:v>
      </x:c>
      <x:c r="K21" s="33" t="str">
        <x:v>슈가coat</x:v>
      </x:c>
      <x:c r="L21" s="33" t="n">
        <x:v>2</x:v>
      </x:c>
      <x:c r="M21" s="236" t="n">
        <x:v>51.3</x:v>
      </x:c>
      <x:c r="N21" s="236" t="n">
        <x:v>5.3</x:v>
      </x:c>
      <x:c r="O21" s="33" t="str">
        <x:v>brown</x:v>
      </x:c>
      <x:c r="P21" s="33" t="str">
        <x:v>N</x:v>
      </x:c>
      <x:c r="Q21" s="33" t="n">
        <x:v>4.3</x:v>
      </x:c>
      <x:c r="R21" s="33" t="n">
        <x:v>4</x:v>
      </x:c>
      <x:c r="S21" s="34" t="str">
        <x:v>사진</x:v>
      </x:c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2" t="n">
        <x:v>6</x:v>
      </x:c>
      <x:c r="K22" s="33" t="str">
        <x:v>아몬드T</x:v>
      </x:c>
      <x:c r="L22" s="33" t="n">
        <x:v>1</x:v>
      </x:c>
      <x:c r="M22" s="236" t="n">
        <x:v>51.9</x:v>
      </x:c>
      <x:c r="N22" s="236" t="n">
        <x:v>5.9</x:v>
      </x:c>
      <x:c r="O22" s="33" t="str">
        <x:v>pale</x:v>
      </x:c>
      <x:c r="P22" s="33" t="str">
        <x:v>Y</x:v>
      </x:c>
      <x:c r="Q22" s="33" t="n">
        <x:v>4.3</x:v>
      </x:c>
      <x:c r="R22" s="33" t="n">
        <x:v>3.6</x:v>
      </x:c>
      <x:c r="S22" s="34" t="str">
        <x:v>-</x:v>
      </x:c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2" t="n">
        <x:v>6</x:v>
      </x:c>
      <x:c r="K23" s="33" t="str">
        <x:v>아몬드T</x:v>
      </x:c>
      <x:c r="L23" s="33" t="n">
        <x:v>2</x:v>
      </x:c>
      <x:c r="M23" s="236" t="n">
        <x:v>52.2</x:v>
      </x:c>
      <x:c r="N23" s="236" t="n">
        <x:v>5.8</x:v>
      </x:c>
      <x:c r="O23" s="33" t="str">
        <x:v>gold</x:v>
      </x:c>
      <x:c r="P23" s="33" t="str">
        <x:v>N</x:v>
      </x:c>
      <x:c r="Q23" s="33" t="n">
        <x:v>3.8</x:v>
      </x:c>
      <x:c r="R23" s="33" t="n">
        <x:v>3.4</x:v>
      </x:c>
      <x:c r="S23" s="34" t="str">
        <x:v>edge↑</x:v>
      </x:c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2" t="n">
        <x:v>9</x:v>
      </x:c>
      <x:c r="K24" s="33" t="str">
        <x:v>기본</x:v>
      </x:c>
      <x:c r="L24" s="33" t="n">
        <x:v>1</x:v>
      </x:c>
      <x:c r="M24" s="236" t="n">
        <x:v>59.6</x:v>
      </x:c>
      <x:c r="N24" s="236" t="n">
        <x:v>6.2</x:v>
      </x:c>
      <x:c r="O24" s="33" t="str">
        <x:v>pale</x:v>
      </x:c>
      <x:c r="P24" s="33" t="str">
        <x:v>N</x:v>
      </x:c>
      <x:c r="Q24" s="33" t="n">
        <x:v>3.6</x:v>
      </x:c>
      <x:c r="R24" s="33" t="n">
        <x:v>5.5</x:v>
      </x:c>
      <x:c r="S24" s="34" t="str">
        <x:v>edge↑</x:v>
      </x:c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2" t="n">
        <x:v>9</x:v>
      </x:c>
      <x:c r="K25" s="33" t="str">
        <x:v>기본</x:v>
      </x:c>
      <x:c r="L25" s="33" t="n">
        <x:v>2</x:v>
      </x:c>
      <x:c r="M25" s="236" t="n">
        <x:v>60.1</x:v>
      </x:c>
      <x:c r="N25" s="236" t="n">
        <x:v>6.3</x:v>
      </x:c>
      <x:c r="O25" s="33" t="str">
        <x:v>gold</x:v>
      </x:c>
      <x:c r="P25" s="33" t="str">
        <x:v>N</x:v>
      </x:c>
      <x:c r="Q25" s="33" t="n">
        <x:v>2.5</x:v>
      </x:c>
      <x:c r="R25" s="33" t="n">
        <x:v>5.3</x:v>
      </x:c>
      <x:c r="S25" s="34" t="str">
        <x:v>-</x:v>
      </x:c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2" t="n">
        <x:v>9</x:v>
      </x:c>
      <x:c r="K26" s="33" t="str">
        <x:v>럼</x:v>
      </x:c>
      <x:c r="L26" s="33" t="n">
        <x:v>1</x:v>
      </x:c>
      <x:c r="M26" s="236" t="n">
        <x:v>60.3</x:v>
      </x:c>
      <x:c r="N26" s="236" t="n">
        <x:v>6.6</x:v>
      </x:c>
      <x:c r="O26" s="33" t="str">
        <x:v>brown</x:v>
      </x:c>
      <x:c r="P26" s="33" t="str">
        <x:v>N</x:v>
      </x:c>
      <x:c r="Q26" s="33" t="n">
        <x:v>2.6</x:v>
      </x:c>
      <x:c r="R26" s="33" t="n">
        <x:v>5.2</x:v>
      </x:c>
      <x:c r="S26" s="34" t="str">
        <x:v>dome good</x:v>
      </x:c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2" t="n">
        <x:v>9</x:v>
      </x:c>
      <x:c r="K27" s="33" t="str">
        <x:v>럼</x:v>
      </x:c>
      <x:c r="L27" s="33" t="n">
        <x:v>2</x:v>
      </x:c>
      <x:c r="M27" s="236" t="n">
        <x:v>60.9</x:v>
      </x:c>
      <x:c r="N27" s="236" t="n">
        <x:v>6.2</x:v>
      </x:c>
      <x:c r="O27" s="33" t="str">
        <x:v>dark edge</x:v>
      </x:c>
      <x:c r="P27" s="33" t="str">
        <x:v>N</x:v>
      </x:c>
      <x:c r="Q27" s="33" t="n">
        <x:v>2.9</x:v>
      </x:c>
      <x:c r="R27" s="33" t="n">
        <x:v>5.2</x:v>
      </x:c>
      <x:c r="S27" s="34" t="str">
        <x:v>사진</x:v>
      </x:c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2" t="n">
        <x:v>12</x:v>
      </x:c>
      <x:c r="K28" s="33" t="str">
        <x:v>기본</x:v>
      </x:c>
      <x:c r="L28" s="33" t="n">
        <x:v>1</x:v>
      </x:c>
      <x:c r="M28" s="236" t="n">
        <x:v>70.9</x:v>
      </x:c>
      <x:c r="N28" s="236" t="n">
        <x:v>7.3</x:v>
      </x:c>
      <x:c r="O28" s="33" t="str">
        <x:v>dark edge</x:v>
      </x:c>
      <x:c r="P28" s="33" t="str">
        <x:v>Y</x:v>
      </x:c>
      <x:c r="Q28" s="33" t="n">
        <x:v>4</x:v>
      </x:c>
      <x:c r="R28" s="33" t="n">
        <x:v>7.2</x:v>
      </x:c>
      <x:c r="S28" s="34" t="str">
        <x:v>-</x:v>
      </x:c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2" t="n">
        <x:v>12</x:v>
      </x:c>
      <x:c r="K29" s="33" t="str">
        <x:v>기본</x:v>
      </x:c>
      <x:c r="L29" s="33" t="n">
        <x:v>2</x:v>
      </x:c>
      <x:c r="M29" s="236" t="n">
        <x:v>71</x:v>
      </x:c>
      <x:c r="N29" s="236" t="n">
        <x:v>7.6</x:v>
      </x:c>
      <x:c r="O29" s="33" t="str">
        <x:v>dark edge</x:v>
      </x:c>
      <x:c r="P29" s="33" t="str">
        <x:v>N</x:v>
      </x:c>
      <x:c r="Q29" s="33" t="n">
        <x:v>4.9</x:v>
      </x:c>
      <x:c r="R29" s="33" t="n">
        <x:v>6.7</x:v>
      </x:c>
      <x:c r="S29" s="34" t="str">
        <x:v>사진</x:v>
      </x:c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2" t="n">
        <x:v>12</x:v>
      </x:c>
      <x:c r="K30" s="33" t="str">
        <x:v>럼</x:v>
      </x:c>
      <x:c r="L30" s="33" t="n">
        <x:v>1</x:v>
      </x:c>
      <x:c r="M30" s="236" t="n">
        <x:v>71</x:v>
      </x:c>
      <x:c r="N30" s="236" t="n">
        <x:v>7.6</x:v>
      </x:c>
      <x:c r="O30" s="33" t="str">
        <x:v>pale</x:v>
      </x:c>
      <x:c r="P30" s="33" t="str">
        <x:v>Y</x:v>
      </x:c>
      <x:c r="Q30" s="33" t="n">
        <x:v>4.5</x:v>
      </x:c>
      <x:c r="R30" s="33" t="n">
        <x:v>7.2</x:v>
      </x:c>
      <x:c r="S30" s="34" t="str">
        <x:v>사진</x:v>
      </x:c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2" t="n">
        <x:v>12</x:v>
      </x:c>
      <x:c r="K31" s="33" t="str">
        <x:v>럼</x:v>
      </x:c>
      <x:c r="L31" s="33" t="n">
        <x:v>2</x:v>
      </x:c>
      <x:c r="M31" s="236" t="n">
        <x:v>72.2</x:v>
      </x:c>
      <x:c r="N31" s="236" t="n">
        <x:v>7.9</x:v>
      </x:c>
      <x:c r="O31" s="33" t="str">
        <x:v>pale</x:v>
      </x:c>
      <x:c r="P31" s="33" t="str">
        <x:v>N</x:v>
      </x:c>
      <x:c r="Q31" s="33" t="n">
        <x:v>3.3</x:v>
      </x:c>
      <x:c r="R31" s="33" t="n">
        <x:v>6.6</x:v>
      </x:c>
      <x:c r="S31" s="34" t="str">
        <x:v>-</x:v>
      </x:c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2" t="n">
        <x:v>12</x:v>
      </x:c>
      <x:c r="K32" s="33" t="str">
        <x:v>슈가coat</x:v>
      </x:c>
      <x:c r="L32" s="33" t="n">
        <x:v>1</x:v>
      </x:c>
      <x:c r="M32" s="236" t="n">
        <x:v>71.8</x:v>
      </x:c>
      <x:c r="N32" s="236" t="n">
        <x:v>8.5</x:v>
      </x:c>
      <x:c r="O32" s="33" t="str">
        <x:v>dark edge</x:v>
      </x:c>
      <x:c r="P32" s="33" t="str">
        <x:v>N</x:v>
      </x:c>
      <x:c r="Q32" s="33" t="n">
        <x:v>3.7</x:v>
      </x:c>
      <x:c r="R32" s="33" t="n">
        <x:v>6.6</x:v>
      </x:c>
      <x:c r="S32" s="34" t="str">
        <x:v>-</x:v>
      </x:c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2" t="n">
        <x:v>12</x:v>
      </x:c>
      <x:c r="K33" s="33" t="str">
        <x:v>슈가coat</x:v>
      </x:c>
      <x:c r="L33" s="33" t="n">
        <x:v>2</x:v>
      </x:c>
      <x:c r="M33" s="236" t="n">
        <x:v>72.4</x:v>
      </x:c>
      <x:c r="N33" s="236" t="n">
        <x:v>8</x:v>
      </x:c>
      <x:c r="O33" s="33" t="str">
        <x:v>pale</x:v>
      </x:c>
      <x:c r="P33" s="33" t="str">
        <x:v>N</x:v>
      </x:c>
      <x:c r="Q33" s="33" t="n">
        <x:v>4.3</x:v>
      </x:c>
      <x:c r="R33" s="33" t="n">
        <x:v>6.8</x:v>
      </x:c>
      <x:c r="S33" s="34" t="str">
        <x:v>edge↑</x:v>
      </x:c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2" t="n">
        <x:v>12</x:v>
      </x:c>
      <x:c r="K34" s="33" t="str">
        <x:v>아몬드T</x:v>
      </x:c>
      <x:c r="L34" s="33" t="n">
        <x:v>1</x:v>
      </x:c>
      <x:c r="M34" s="236" t="n">
        <x:v>72.6</x:v>
      </x:c>
      <x:c r="N34" s="236" t="n">
        <x:v>8.7</x:v>
      </x:c>
      <x:c r="O34" s="33" t="str">
        <x:v>dark edge</x:v>
      </x:c>
      <x:c r="P34" s="33" t="str">
        <x:v>N</x:v>
      </x:c>
      <x:c r="Q34" s="33" t="n">
        <x:v>3.9</x:v>
      </x:c>
      <x:c r="R34" s="33" t="n">
        <x:v>6.8</x:v>
      </x:c>
      <x:c r="S34" s="34" t="str">
        <x:v>-</x:v>
      </x:c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2" t="n">
        <x:v>12</x:v>
      </x:c>
      <x:c r="K35" s="33" t="str">
        <x:v>아몬드T</x:v>
      </x:c>
      <x:c r="L35" s="33" t="n">
        <x:v>2</x:v>
      </x:c>
      <x:c r="M35" s="236" t="n">
        <x:v>72.2</x:v>
      </x:c>
      <x:c r="N35" s="236" t="n">
        <x:v>8.9</x:v>
      </x:c>
      <x:c r="O35" s="33" t="str">
        <x:v>dark edge</x:v>
      </x:c>
      <x:c r="P35" s="33" t="str">
        <x:v>Y</x:v>
      </x:c>
      <x:c r="Q35" s="33" t="n">
        <x:v>3.9</x:v>
      </x:c>
      <x:c r="R35" s="33" t="n">
        <x:v>6.8</x:v>
      </x:c>
      <x:c r="S35" s="34" t="str">
        <x:v>dome good</x:v>
      </x:c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2" t="n">
        <x:v>15</x:v>
      </x:c>
      <x:c r="K36" s="33" t="str">
        <x:v>기본</x:v>
      </x:c>
      <x:c r="L36" s="33" t="n">
        <x:v>1</x:v>
      </x:c>
      <x:c r="M36" s="236" t="n">
        <x:v>81.3</x:v>
      </x:c>
      <x:c r="N36" s="236" t="n">
        <x:v>9</x:v>
      </x:c>
      <x:c r="O36" s="33" t="str">
        <x:v>dark edge</x:v>
      </x:c>
      <x:c r="P36" s="33" t="str">
        <x:v>Y</x:v>
      </x:c>
      <x:c r="Q36" s="33" t="n">
        <x:v>3.6</x:v>
      </x:c>
      <x:c r="R36" s="33" t="n">
        <x:v>8.8</x:v>
      </x:c>
      <x:c r="S36" s="34" t="str">
        <x:v>-</x:v>
      </x:c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2" t="n">
        <x:v>15</x:v>
      </x:c>
      <x:c r="K37" s="33" t="str">
        <x:v>기본</x:v>
      </x:c>
      <x:c r="L37" s="33" t="n">
        <x:v>2</x:v>
      </x:c>
      <x:c r="M37" s="236" t="n">
        <x:v>82.1</x:v>
      </x:c>
      <x:c r="N37" s="236" t="n">
        <x:v>8.8</x:v>
      </x:c>
      <x:c r="O37" s="33" t="str">
        <x:v>brown</x:v>
      </x:c>
      <x:c r="P37" s="33" t="str">
        <x:v>Y</x:v>
      </x:c>
      <x:c r="Q37" s="33" t="n">
        <x:v>3.3</x:v>
      </x:c>
      <x:c r="R37" s="33" t="n">
        <x:v>8.6</x:v>
      </x:c>
      <x:c r="S37" s="34" t="str">
        <x:v>dome good</x:v>
      </x:c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2" t="n">
        <x:v>15</x:v>
      </x:c>
      <x:c r="K38" s="33" t="str">
        <x:v>슈가coat</x:v>
      </x:c>
      <x:c r="L38" s="33" t="n">
        <x:v>1</x:v>
      </x:c>
      <x:c r="M38" s="236" t="n">
        <x:v>82</x:v>
      </x:c>
      <x:c r="N38" s="236" t="n">
        <x:v>9</x:v>
      </x:c>
      <x:c r="O38" s="33" t="str">
        <x:v>gold</x:v>
      </x:c>
      <x:c r="P38" s="33" t="str">
        <x:v>N</x:v>
      </x:c>
      <x:c r="Q38" s="33" t="n">
        <x:v>4.2</x:v>
      </x:c>
      <x:c r="R38" s="33" t="n">
        <x:v>8.1</x:v>
      </x:c>
      <x:c r="S38" s="34" t="str">
        <x:v>edge↑</x:v>
      </x:c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2" t="n">
        <x:v>15</x:v>
      </x:c>
      <x:c r="K39" s="33" t="str">
        <x:v>슈가coat</x:v>
      </x:c>
      <x:c r="L39" s="33" t="n">
        <x:v>2</x:v>
      </x:c>
      <x:c r="M39" s="236" t="n">
        <x:v>82.2</x:v>
      </x:c>
      <x:c r="N39" s="236" t="n">
        <x:v>9.6</x:v>
      </x:c>
      <x:c r="O39" s="33" t="str">
        <x:v>gold</x:v>
      </x:c>
      <x:c r="P39" s="33" t="str">
        <x:v>N</x:v>
      </x:c>
      <x:c r="Q39" s="33" t="n">
        <x:v>4.7</x:v>
      </x:c>
      <x:c r="R39" s="33" t="n">
        <x:v>8.5</x:v>
      </x:c>
      <x:c r="S39" s="34" t="str">
        <x:v>edge↑</x:v>
      </x:c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2" t="n">
        <x:v>18</x:v>
      </x:c>
      <x:c r="K40" s="33" t="str">
        <x:v>기본</x:v>
      </x:c>
      <x:c r="L40" s="33" t="n">
        <x:v>1</x:v>
      </x:c>
      <x:c r="M40" s="236" t="n">
        <x:v>92.3</x:v>
      </x:c>
      <x:c r="N40" s="236" t="n">
        <x:v>10.5</x:v>
      </x:c>
      <x:c r="O40" s="33" t="str">
        <x:v>gold</x:v>
      </x:c>
      <x:c r="P40" s="33" t="str">
        <x:v>N</x:v>
      </x:c>
      <x:c r="Q40" s="33" t="n">
        <x:v>4.3</x:v>
      </x:c>
      <x:c r="R40" s="33" t="n">
        <x:v>9.7</x:v>
      </x:c>
      <x:c r="S40" s="34" t="str">
        <x:v>edge↑</x:v>
      </x:c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2" t="n">
        <x:v>18</x:v>
      </x:c>
      <x:c r="K41" s="33" t="str">
        <x:v>기본</x:v>
      </x:c>
      <x:c r="L41" s="33" t="n">
        <x:v>2</x:v>
      </x:c>
      <x:c r="M41" s="236" t="n">
        <x:v>92.6</x:v>
      </x:c>
      <x:c r="N41" s="236" t="n">
        <x:v>10.2</x:v>
      </x:c>
      <x:c r="O41" s="33" t="str">
        <x:v>dark edge</x:v>
      </x:c>
      <x:c r="P41" s="33" t="str">
        <x:v>N</x:v>
      </x:c>
      <x:c r="Q41" s="33" t="n">
        <x:v>2.6</x:v>
      </x:c>
      <x:c r="R41" s="33" t="n">
        <x:v>10.2</x:v>
      </x:c>
      <x:c r="S41" s="34" t="str">
        <x:v>edge↑</x:v>
      </x:c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2" t="n">
        <x:v>18</x:v>
      </x:c>
      <x:c r="K42" s="33" t="str">
        <x:v>럼</x:v>
      </x:c>
      <x:c r="L42" s="33" t="n">
        <x:v>1</x:v>
      </x:c>
      <x:c r="M42" s="236" t="n">
        <x:v>92.1</x:v>
      </x:c>
      <x:c r="N42" s="236" t="n">
        <x:v>10.9</x:v>
      </x:c>
      <x:c r="O42" s="33" t="str">
        <x:v>brown</x:v>
      </x:c>
      <x:c r="P42" s="33" t="str">
        <x:v>N</x:v>
      </x:c>
      <x:c r="Q42" s="33" t="n">
        <x:v>4.9</x:v>
      </x:c>
      <x:c r="R42" s="33" t="n">
        <x:v>10.2</x:v>
      </x:c>
      <x:c r="S42" s="34" t="str">
        <x:v>-</x:v>
      </x:c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2" t="n">
        <x:v>18</x:v>
      </x:c>
      <x:c r="K43" s="33" t="str">
        <x:v>럼</x:v>
      </x:c>
      <x:c r="L43" s="33" t="n">
        <x:v>2</x:v>
      </x:c>
      <x:c r="M43" s="236" t="n">
        <x:v>92.5</x:v>
      </x:c>
      <x:c r="N43" s="236" t="n">
        <x:v>10.7</x:v>
      </x:c>
      <x:c r="O43" s="33" t="str">
        <x:v>gold</x:v>
      </x:c>
      <x:c r="P43" s="33" t="str">
        <x:v>Y</x:v>
      </x:c>
      <x:c r="Q43" s="33" t="n">
        <x:v>3.1</x:v>
      </x:c>
      <x:c r="R43" s="33" t="n">
        <x:v>10.1</x:v>
      </x:c>
      <x:c r="S43" s="34" t="str">
        <x:v>사진</x:v>
      </x:c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2" t="n">
        <x:v>18</x:v>
      </x:c>
      <x:c r="K44" s="33" t="str">
        <x:v>슈가coat</x:v>
      </x:c>
      <x:c r="L44" s="33" t="n">
        <x:v>1</x:v>
      </x:c>
      <x:c r="M44" s="236" t="n">
        <x:v>93.4</x:v>
      </x:c>
      <x:c r="N44" s="236" t="n">
        <x:v>11.1</x:v>
      </x:c>
      <x:c r="O44" s="33" t="str">
        <x:v>pale</x:v>
      </x:c>
      <x:c r="P44" s="33" t="str">
        <x:v>Y</x:v>
      </x:c>
      <x:c r="Q44" s="33" t="n">
        <x:v>3.4</x:v>
      </x:c>
      <x:c r="R44" s="33" t="n">
        <x:v>10</x:v>
      </x:c>
      <x:c r="S44" s="34" t="str">
        <x:v>edge↑</x:v>
      </x:c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2" t="n">
        <x:v>18</x:v>
      </x:c>
      <x:c r="K45" s="33" t="str">
        <x:v>슈가coat</x:v>
      </x:c>
      <x:c r="L45" s="33" t="n">
        <x:v>2</x:v>
      </x:c>
      <x:c r="M45" s="236" t="n">
        <x:v>94.2</x:v>
      </x:c>
      <x:c r="N45" s="236" t="n">
        <x:v>11.3</x:v>
      </x:c>
      <x:c r="O45" s="33" t="str">
        <x:v>dark edge</x:v>
      </x:c>
      <x:c r="P45" s="33" t="str">
        <x:v>N</x:v>
      </x:c>
      <x:c r="Q45" s="33" t="n">
        <x:v>3.8</x:v>
      </x:c>
      <x:c r="R45" s="33" t="n">
        <x:v>9.7</x:v>
      </x:c>
      <x:c r="S45" s="34" t="str">
        <x:v>dome good</x:v>
      </x:c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2" t="n">
        <x:v>18</x:v>
      </x:c>
      <x:c r="K46" s="33" t="str">
        <x:v>아몬드T</x:v>
      </x:c>
      <x:c r="L46" s="33" t="n">
        <x:v>1</x:v>
      </x:c>
      <x:c r="M46" s="236" t="n">
        <x:v>94.5</x:v>
      </x:c>
      <x:c r="N46" s="236" t="n">
        <x:v>11.7</x:v>
      </x:c>
      <x:c r="O46" s="33" t="str">
        <x:v>pale</x:v>
      </x:c>
      <x:c r="P46" s="33" t="str">
        <x:v>N</x:v>
      </x:c>
      <x:c r="Q46" s="33" t="n">
        <x:v>4.7</x:v>
      </x:c>
      <x:c r="R46" s="33" t="n">
        <x:v>9.9</x:v>
      </x:c>
      <x:c r="S46" s="34" t="str">
        <x:v>사진</x:v>
      </x:c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2" t="n">
        <x:v>18</x:v>
      </x:c>
      <x:c r="K47" s="33" t="str">
        <x:v>아몬드T</x:v>
      </x:c>
      <x:c r="L47" s="33" t="n">
        <x:v>2</x:v>
      </x:c>
      <x:c r="M47" s="236" t="n">
        <x:v>94.1</x:v>
      </x:c>
      <x:c r="N47" s="236" t="n">
        <x:v>11.8</x:v>
      </x:c>
      <x:c r="O47" s="33" t="str">
        <x:v>brown</x:v>
      </x:c>
      <x:c r="P47" s="33" t="str">
        <x:v>N</x:v>
      </x:c>
      <x:c r="Q47" s="33" t="n">
        <x:v>4.5</x:v>
      </x:c>
      <x:c r="R47" s="33" t="n">
        <x:v>9.8</x:v>
      </x:c>
      <x:c r="S47" s="34" t="str">
        <x:v>-</x:v>
      </x:c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2" t="n">
        <x:v>21</x:v>
      </x:c>
      <x:c r="K48" s="33" t="str">
        <x:v>기본</x:v>
      </x:c>
      <x:c r="L48" s="33" t="n">
        <x:v>1</x:v>
      </x:c>
      <x:c r="M48" s="236" t="n">
        <x:v>99.4</x:v>
      </x:c>
      <x:c r="N48" s="236" t="n">
        <x:v>11.5</x:v>
      </x:c>
      <x:c r="O48" s="33" t="str">
        <x:v>brown</x:v>
      </x:c>
      <x:c r="P48" s="33" t="str">
        <x:v>N</x:v>
      </x:c>
      <x:c r="Q48" s="33" t="n">
        <x:v>3.5</x:v>
      </x:c>
      <x:c r="R48" s="33" t="n">
        <x:v>11.5</x:v>
      </x:c>
      <x:c r="S48" s="34" t="str">
        <x:v>edge↑</x:v>
      </x:c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2" t="n">
        <x:v>21</x:v>
      </x:c>
      <x:c r="K49" s="33" t="str">
        <x:v>기본</x:v>
      </x:c>
      <x:c r="L49" s="33" t="n">
        <x:v>2</x:v>
      </x:c>
      <x:c r="M49" s="236" t="n">
        <x:v>99.4</x:v>
      </x:c>
      <x:c r="N49" s="236" t="n">
        <x:v>11.9</x:v>
      </x:c>
      <x:c r="O49" s="33" t="str">
        <x:v>brown</x:v>
      </x:c>
      <x:c r="P49" s="33" t="str">
        <x:v>N</x:v>
      </x:c>
      <x:c r="Q49" s="33" t="n">
        <x:v>4.2</x:v>
      </x:c>
      <x:c r="R49" s="33" t="n">
        <x:v>11.3</x:v>
      </x:c>
      <x:c r="S49" s="34" t="str">
        <x:v>-</x:v>
      </x:c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2" t="n">
        <x:v>21</x:v>
      </x:c>
      <x:c r="K50" s="33" t="str">
        <x:v>슈가coat</x:v>
      </x:c>
      <x:c r="L50" s="33" t="n">
        <x:v>1</x:v>
      </x:c>
      <x:c r="M50" s="236" t="n">
        <x:v>99.4</x:v>
      </x:c>
      <x:c r="N50" s="236" t="n">
        <x:v>12.3</x:v>
      </x:c>
      <x:c r="O50" s="33" t="str">
        <x:v>brown</x:v>
      </x:c>
      <x:c r="P50" s="33" t="str">
        <x:v>N</x:v>
      </x:c>
      <x:c r="Q50" s="33" t="n">
        <x:v>4.4</x:v>
      </x:c>
      <x:c r="R50" s="33" t="n">
        <x:v>11.3</x:v>
      </x:c>
      <x:c r="S50" s="34" t="str">
        <x:v>dome good</x:v>
      </x:c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5" t="n">
        <x:v>21</x:v>
      </x:c>
      <x:c r="K51" s="36" t="str">
        <x:v>슈가coat</x:v>
      </x:c>
      <x:c r="L51" s="36" t="n">
        <x:v>2</x:v>
      </x:c>
      <x:c r="M51" s="237" t="n">
        <x:v>99.4</x:v>
      </x:c>
      <x:c r="N51" s="237" t="n">
        <x:v>11.7</x:v>
      </x:c>
      <x:c r="O51" s="36" t="str">
        <x:v>pale</x:v>
      </x:c>
      <x:c r="P51" s="36" t="str">
        <x:v>N</x:v>
      </x:c>
      <x:c r="Q51" s="36" t="n">
        <x:v>3.3</x:v>
      </x:c>
      <x:c r="R51" s="36" t="n">
        <x:v>11.3</x:v>
      </x:c>
      <x:c r="S51" s="37" t="str">
        <x:v>edge↑</x:v>
      </x:c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</x:sheetData>
  <x:mergeCells>
    <x:mergeCell ref="D3:P4"/>
    <x:mergeCell ref="K8:K9"/>
    <x:mergeCell ref="J8:J9"/>
    <x:mergeCell ref="K10:K11"/>
    <x:mergeCell ref="J10:J11"/>
    <x:mergeCell ref="K12:K13"/>
    <x:mergeCell ref="J12:J13"/>
    <x:mergeCell ref="K14:K15"/>
    <x:mergeCell ref="J14:J15"/>
    <x:mergeCell ref="K16:K17"/>
    <x:mergeCell ref="J16:J17"/>
    <x:mergeCell ref="K18:K19"/>
    <x:mergeCell ref="J18:J19"/>
    <x:mergeCell ref="K20:K21"/>
    <x:mergeCell ref="J20:J21"/>
    <x:mergeCell ref="K22:K23"/>
    <x:mergeCell ref="J22:J23"/>
    <x:mergeCell ref="K24:K25"/>
    <x:mergeCell ref="J24:J25"/>
    <x:mergeCell ref="K26:K27"/>
    <x:mergeCell ref="J26:J27"/>
    <x:mergeCell ref="K28:K29"/>
    <x:mergeCell ref="J28:J29"/>
    <x:mergeCell ref="K30:K31"/>
    <x:mergeCell ref="J30:J31"/>
    <x:mergeCell ref="K32:K33"/>
    <x:mergeCell ref="J32:J33"/>
    <x:mergeCell ref="K34:K35"/>
    <x:mergeCell ref="J34:J35"/>
    <x:mergeCell ref="K36:K37"/>
    <x:mergeCell ref="J36:J37"/>
    <x:mergeCell ref="K38:K39"/>
    <x:mergeCell ref="J38:J39"/>
    <x:mergeCell ref="K40:K41"/>
    <x:mergeCell ref="J40:J41"/>
    <x:mergeCell ref="K42:K43"/>
    <x:mergeCell ref="J42:J43"/>
    <x:mergeCell ref="K44:K45"/>
    <x:mergeCell ref="J44:J45"/>
    <x:mergeCell ref="K46:K47"/>
    <x:mergeCell ref="J46:J47"/>
    <x:mergeCell ref="K48:K49"/>
    <x:mergeCell ref="J48:J49"/>
    <x:mergeCell ref="K50:K51"/>
    <x:mergeCell ref="J50:J5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1">
      <x:c r="A1" s="33"/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33"/>
      <x:c r="B3" s="33"/>
      <x:c r="C3" s="33"/>
      <x:c r="D3" s="170" t="str">
        <x:v>오리지날  OVEN=200℃ / 실험기록</x:v>
      </x:c>
      <x:c r="E3" s="171"/>
      <x:c r="F3" s="171"/>
      <x:c r="G3" s="171"/>
      <x:c r="H3" s="171"/>
      <x:c r="I3" s="171"/>
      <x:c r="J3" s="171"/>
      <x:c r="K3" s="171"/>
      <x:c r="L3" s="171"/>
      <x:c r="M3" s="171"/>
      <x:c r="N3" s="171"/>
      <x:c r="O3" s="171"/>
      <x:c r="P3" s="172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33"/>
      <x:c r="B4" s="33"/>
      <x:c r="C4" s="33"/>
      <x:c r="D4" s="173"/>
      <x:c r="E4" s="174"/>
      <x:c r="F4" s="174"/>
      <x:c r="G4" s="174"/>
      <x:c r="H4" s="174"/>
      <x:c r="I4" s="174"/>
      <x:c r="J4" s="174"/>
      <x:c r="K4" s="174"/>
      <x:c r="L4" s="174"/>
      <x:c r="M4" s="174"/>
      <x:c r="N4" s="174"/>
      <x:c r="O4" s="174"/>
      <x:c r="P4" s="175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3"/>
      <x:c r="B6" s="33"/>
      <x:c r="C6" s="33"/>
      <x:c r="D6" s="29" t="str">
        <x:v>batch</x:v>
      </x:c>
      <x:c r="E6" s="30" t="str">
        <x:v>오-200-A</x:v>
      </x:c>
      <x:c r="F6" s="30" t="str">
        <x:v>fan</x:v>
      </x:c>
      <x:c r="G6" s="30" t="str">
        <x:v>약풍</x:v>
      </x:c>
      <x:c r="H6" s="31" t="str">
        <x:v>memo</x:v>
      </x:c>
      <x:c r="I6" s="33"/>
      <x:c r="J6" s="58" t="str">
        <x:v>Time</x:v>
      </x:c>
      <x:c r="K6" s="59" t="str">
        <x:v>Add-in</x:v>
      </x:c>
      <x:c r="L6" s="59" t="str">
        <x:v>rep</x:v>
      </x:c>
      <x:c r="M6" s="59" t="str">
        <x:v>core T</x:v>
      </x:c>
      <x:c r="N6" s="59" t="str">
        <x:v>rise</x:v>
      </x:c>
      <x:c r="O6" s="59" t="str">
        <x:v>surface</x:v>
      </x:c>
      <x:c r="P6" s="59" t="str">
        <x:v>crack</x:v>
      </x:c>
      <x:c r="Q6" s="59" t="str">
        <x:v>moist</x:v>
      </x:c>
      <x:c r="R6" s="59" t="str">
        <x:v>loss</x:v>
      </x:c>
      <x:c r="S6" s="60" t="str">
        <x:v>memo</x:v>
      </x:c>
      <x:c r="T6" s="33"/>
      <x:c r="U6" s="33"/>
      <x:c r="V6" s="33"/>
      <x:c r="W6" s="33"/>
      <x:c r="X6" s="33"/>
      <x:c r="Y6" s="33"/>
      <x:c r="Z6" s="33"/>
    </x:row>
    <x:row r="7">
      <x:c r="A7" s="33"/>
      <x:c r="B7" s="33"/>
      <x:c r="C7" s="33"/>
      <x:c r="D7" s="32" t="str">
        <x:v>실내</x:v>
      </x:c>
      <x:c r="E7" s="33" t="str">
        <x:v>26℃</x:v>
      </x:c>
      <x:c r="F7" s="33" t="str">
        <x:v>반죽숙성</x:v>
      </x:c>
      <x:c r="G7" s="33" t="str">
        <x:v>8h</x:v>
      </x:c>
      <x:c r="H7" s="34" t="str">
        <x:v>수기</x:v>
      </x:c>
      <x:c r="I7" s="33"/>
      <x:c r="J7" s="212" t="str">
        <x:v>min</x:v>
      </x:c>
      <x:c r="K7" s="213" t="str">
        <x:v>조건</x:v>
      </x:c>
      <x:c r="L7" s="213" t="str">
        <x:v>#</x:v>
      </x:c>
      <x:c r="M7" s="213" t="str">
        <x:v>℃</x:v>
      </x:c>
      <x:c r="N7" s="213" t="str">
        <x:v>mm</x:v>
      </x:c>
      <x:c r="O7" s="213" t="str">
        <x:v>visual</x:v>
      </x:c>
      <x:c r="P7" s="213" t="str">
        <x:v>Y/N</x:v>
      </x:c>
      <x:c r="Q7" s="213" t="str">
        <x:v>1~5</x:v>
      </x:c>
      <x:c r="R7" s="213" t="str">
        <x:v>%</x:v>
      </x:c>
      <x:c r="S7" s="214" t="str"/>
      <x:c r="T7" s="33"/>
      <x:c r="U7" s="33"/>
      <x:c r="V7" s="33"/>
      <x:c r="W7" s="33"/>
      <x:c r="X7" s="33"/>
      <x:c r="Y7" s="33"/>
      <x:c r="Z7" s="33"/>
    </x:row>
    <x:row r="8">
      <x:c r="A8" s="33"/>
      <x:c r="B8" s="33"/>
      <x:c r="C8" s="33"/>
      <x:c r="D8" s="32" t="str">
        <x:v>몰드</x:v>
      </x:c>
      <x:c r="E8" s="33" t="str">
        <x:v>12구</x:v>
      </x:c>
      <x:c r="F8" s="33" t="str">
        <x:v>probe</x:v>
      </x:c>
      <x:c r="G8" s="33" t="str">
        <x:v>center</x:v>
      </x:c>
      <x:c r="H8" s="34" t="str">
        <x:v>K-type</x:v>
      </x:c>
      <x:c r="I8" s="33"/>
      <x:c r="J8" s="29" t="n">
        <x:v>0</x:v>
      </x:c>
      <x:c r="K8" s="30" t="str">
        <x:v>기본</x:v>
      </x:c>
      <x:c r="L8" s="30" t="n">
        <x:v>1</x:v>
      </x:c>
      <x:c r="M8" s="235" t="n">
        <x:v>28.7</x:v>
      </x:c>
      <x:c r="N8" s="235" t="n">
        <x:v>1.5</x:v>
      </x:c>
      <x:c r="O8" s="30" t="str">
        <x:v>pale</x:v>
      </x:c>
      <x:c r="P8" s="30" t="str">
        <x:v>Y</x:v>
      </x:c>
      <x:c r="Q8" s="30" t="n">
        <x:v>4.3</x:v>
      </x:c>
      <x:c r="R8" s="30" t="n">
        <x:v>0.8</x:v>
      </x:c>
      <x:c r="S8" s="31" t="str">
        <x:v>edge↑</x:v>
      </x:c>
      <x:c r="T8" s="33"/>
      <x:c r="U8" s="33"/>
      <x:c r="V8" s="33"/>
      <x:c r="W8" s="33"/>
      <x:c r="X8" s="33"/>
      <x:c r="Y8" s="33"/>
      <x:c r="Z8" s="33"/>
    </x:row>
    <x:row r="9">
      <x:c r="A9" s="33"/>
      <x:c r="B9" s="33"/>
      <x:c r="C9" s="33"/>
      <x:c r="D9" s="32" t="str">
        <x:v>note</x:v>
      </x:c>
      <x:c r="E9" s="33" t="str">
        <x:v>같은 시간 여러 부재료는 merge</x:v>
      </x:c>
      <x:c r="F9" s="33" t="str"/>
      <x:c r="G9" s="33" t="str"/>
      <x:c r="H9" s="34" t="str"/>
      <x:c r="I9" s="33"/>
      <x:c r="J9" s="32" t="n">
        <x:v>0</x:v>
      </x:c>
      <x:c r="K9" s="33" t="str">
        <x:v>기본</x:v>
      </x:c>
      <x:c r="L9" s="33" t="n">
        <x:v>2</x:v>
      </x:c>
      <x:c r="M9" s="236" t="n">
        <x:v>28.8</x:v>
      </x:c>
      <x:c r="N9" s="236" t="n">
        <x:v>1.9</x:v>
      </x:c>
      <x:c r="O9" s="33" t="str">
        <x:v>brown</x:v>
      </x:c>
      <x:c r="P9" s="33" t="str">
        <x:v>N</x:v>
      </x:c>
      <x:c r="Q9" s="33" t="n">
        <x:v>3.8</x:v>
      </x:c>
      <x:c r="R9" s="33" t="n">
        <x:v>1.2</x:v>
      </x:c>
      <x:c r="S9" s="34" t="str">
        <x:v>edge↑</x:v>
      </x:c>
      <x:c r="T9" s="33"/>
      <x:c r="U9" s="33"/>
      <x:c r="V9" s="33"/>
      <x:c r="W9" s="33"/>
      <x:c r="X9" s="33"/>
      <x:c r="Y9" s="33"/>
      <x:c r="Z9" s="33"/>
    </x:row>
    <x:row r="10">
      <x:c r="A10" s="33"/>
      <x:c r="B10" s="33"/>
      <x:c r="C10" s="33"/>
      <x:c r="D10" s="35" t="str">
        <x:v>operator</x:v>
      </x:c>
      <x:c r="E10" s="36" t="str">
        <x:v>박</x:v>
      </x:c>
      <x:c r="F10" s="36" t="str">
        <x:v>n</x:v>
      </x:c>
      <x:c r="G10" s="36" t="str">
        <x:v>2</x:v>
      </x:c>
      <x:c r="H10" s="37" t="str"/>
      <x:c r="I10" s="33"/>
      <x:c r="J10" s="32" t="n">
        <x:v>0</x:v>
      </x:c>
      <x:c r="K10" s="33" t="str">
        <x:v>슈가coat</x:v>
      </x:c>
      <x:c r="L10" s="33" t="n">
        <x:v>1</x:v>
      </x:c>
      <x:c r="M10" s="236" t="n">
        <x:v>30.3</x:v>
      </x:c>
      <x:c r="N10" s="236" t="n">
        <x:v>2.4</x:v>
      </x:c>
      <x:c r="O10" s="33" t="str">
        <x:v>gold</x:v>
      </x:c>
      <x:c r="P10" s="33" t="str">
        <x:v>Y</x:v>
      </x:c>
      <x:c r="Q10" s="33" t="n">
        <x:v>3.8</x:v>
      </x:c>
      <x:c r="R10" s="33" t="n">
        <x:v>0.7</x:v>
      </x:c>
      <x:c r="S10" s="34" t="str">
        <x:v>-</x:v>
      </x:c>
      <x:c r="T10" s="33"/>
      <x:c r="U10" s="33"/>
      <x:c r="V10" s="33"/>
      <x:c r="W10" s="33"/>
      <x:c r="X10" s="33"/>
      <x:c r="Y10" s="33"/>
      <x:c r="Z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2" t="n">
        <x:v>0</x:v>
      </x:c>
      <x:c r="K11" s="33" t="str">
        <x:v>슈가coat</x:v>
      </x:c>
      <x:c r="L11" s="33" t="n">
        <x:v>2</x:v>
      </x:c>
      <x:c r="M11" s="236" t="n">
        <x:v>30.1</x:v>
      </x:c>
      <x:c r="N11" s="236" t="n">
        <x:v>1.9</x:v>
      </x:c>
      <x:c r="O11" s="33" t="str">
        <x:v>brown</x:v>
      </x:c>
      <x:c r="P11" s="33" t="str">
        <x:v>Y</x:v>
      </x:c>
      <x:c r="Q11" s="33" t="n">
        <x:v>2.9</x:v>
      </x:c>
      <x:c r="R11" s="33" t="n">
        <x:v>0.7</x:v>
      </x:c>
      <x:c r="S11" s="34" t="str">
        <x:v>dome good</x:v>
      </x:c>
      <x:c r="T11" s="33"/>
      <x:c r="U11" s="33"/>
      <x:c r="V11" s="33"/>
      <x:c r="W11" s="33"/>
      <x:c r="X11" s="33"/>
      <x:c r="Y11" s="33"/>
      <x:c r="Z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2" t="n">
        <x:v>3</x:v>
      </x:c>
      <x:c r="K12" s="33" t="str">
        <x:v>기본</x:v>
      </x:c>
      <x:c r="L12" s="33" t="n">
        <x:v>1</x:v>
      </x:c>
      <x:c r="M12" s="236" t="n">
        <x:v>40.5</x:v>
      </x:c>
      <x:c r="N12" s="236" t="n">
        <x:v>3.2</x:v>
      </x:c>
      <x:c r="O12" s="33" t="str">
        <x:v>gold</x:v>
      </x:c>
      <x:c r="P12" s="33" t="str">
        <x:v>N</x:v>
      </x:c>
      <x:c r="Q12" s="33" t="n">
        <x:v>4.4</x:v>
      </x:c>
      <x:c r="R12" s="33" t="n">
        <x:v>2.6</x:v>
      </x:c>
      <x:c r="S12" s="34" t="str">
        <x:v>dome good</x:v>
      </x:c>
      <x:c r="T12" s="33"/>
      <x:c r="U12" s="33"/>
      <x:c r="V12" s="33"/>
      <x:c r="W12" s="33"/>
      <x:c r="X12" s="33"/>
      <x:c r="Y12" s="33"/>
      <x:c r="Z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2" t="n">
        <x:v>3</x:v>
      </x:c>
      <x:c r="K13" s="33" t="str">
        <x:v>기본</x:v>
      </x:c>
      <x:c r="L13" s="33" t="n">
        <x:v>2</x:v>
      </x:c>
      <x:c r="M13" s="236" t="n">
        <x:v>39.7</x:v>
      </x:c>
      <x:c r="N13" s="236" t="n">
        <x:v>3.4</x:v>
      </x:c>
      <x:c r="O13" s="33" t="str">
        <x:v>pale</x:v>
      </x:c>
      <x:c r="P13" s="33" t="str">
        <x:v>N</x:v>
      </x:c>
      <x:c r="Q13" s="33" t="n">
        <x:v>3.6</x:v>
      </x:c>
      <x:c r="R13" s="33" t="n">
        <x:v>2.2</x:v>
      </x:c>
      <x:c r="S13" s="34" t="str">
        <x:v>사진</x:v>
      </x:c>
      <x:c r="T13" s="33"/>
      <x:c r="U13" s="33"/>
      <x:c r="V13" s="33"/>
      <x:c r="W13" s="33"/>
      <x:c r="X13" s="33"/>
      <x:c r="Y13" s="33"/>
      <x:c r="Z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2" t="n">
        <x:v>3</x:v>
      </x:c>
      <x:c r="K14" s="33" t="str">
        <x:v>럼</x:v>
      </x:c>
      <x:c r="L14" s="33" t="n">
        <x:v>1</x:v>
      </x:c>
      <x:c r="M14" s="236" t="n">
        <x:v>40.9</x:v>
      </x:c>
      <x:c r="N14" s="236" t="n">
        <x:v>3.8</x:v>
      </x:c>
      <x:c r="O14" s="33" t="str">
        <x:v>gold</x:v>
      </x:c>
      <x:c r="P14" s="33" t="str">
        <x:v>Y</x:v>
      </x:c>
      <x:c r="Q14" s="33" t="n">
        <x:v>4.3</x:v>
      </x:c>
      <x:c r="R14" s="33" t="n">
        <x:v>2.2</x:v>
      </x:c>
      <x:c r="S14" s="34" t="str">
        <x:v>edge↑</x:v>
      </x:c>
      <x:c r="T14" s="33"/>
      <x:c r="U14" s="33"/>
      <x:c r="V14" s="33"/>
      <x:c r="W14" s="33"/>
      <x:c r="X14" s="33"/>
      <x:c r="Y14" s="33"/>
      <x:c r="Z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2" t="n">
        <x:v>3</x:v>
      </x:c>
      <x:c r="K15" s="33" t="str">
        <x:v>럼</x:v>
      </x:c>
      <x:c r="L15" s="33" t="n">
        <x:v>2</x:v>
      </x:c>
      <x:c r="M15" s="236" t="n">
        <x:v>41.1</x:v>
      </x:c>
      <x:c r="N15" s="236" t="n">
        <x:v>3.9</x:v>
      </x:c>
      <x:c r="O15" s="33" t="str">
        <x:v>brown</x:v>
      </x:c>
      <x:c r="P15" s="33" t="str">
        <x:v>Y</x:v>
      </x:c>
      <x:c r="Q15" s="33" t="n">
        <x:v>4.9</x:v>
      </x:c>
      <x:c r="R15" s="33" t="n">
        <x:v>2.5</x:v>
      </x:c>
      <x:c r="S15" s="34" t="str">
        <x:v>사진</x:v>
      </x:c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2" t="n">
        <x:v>6</x:v>
      </x:c>
      <x:c r="K16" s="33" t="str">
        <x:v>기본</x:v>
      </x:c>
      <x:c r="L16" s="33" t="n">
        <x:v>1</x:v>
      </x:c>
      <x:c r="M16" s="236" t="n">
        <x:v>50.7</x:v>
      </x:c>
      <x:c r="N16" s="236" t="n">
        <x:v>4.2</x:v>
      </x:c>
      <x:c r="O16" s="33" t="str">
        <x:v>brown</x:v>
      </x:c>
      <x:c r="P16" s="33" t="str">
        <x:v>N</x:v>
      </x:c>
      <x:c r="Q16" s="33" t="n">
        <x:v>3.1</x:v>
      </x:c>
      <x:c r="R16" s="33" t="n">
        <x:v>4.3</x:v>
      </x:c>
      <x:c r="S16" s="34" t="str">
        <x:v>-</x:v>
      </x:c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2" t="n">
        <x:v>6</x:v>
      </x:c>
      <x:c r="K17" s="33" t="str">
        <x:v>기본</x:v>
      </x:c>
      <x:c r="L17" s="33" t="n">
        <x:v>2</x:v>
      </x:c>
      <x:c r="M17" s="236" t="n">
        <x:v>50.2</x:v>
      </x:c>
      <x:c r="N17" s="236" t="n">
        <x:v>4.5</x:v>
      </x:c>
      <x:c r="O17" s="33" t="str">
        <x:v>brown</x:v>
      </x:c>
      <x:c r="P17" s="33" t="str">
        <x:v>N</x:v>
      </x:c>
      <x:c r="Q17" s="33" t="n">
        <x:v>3.4</x:v>
      </x:c>
      <x:c r="R17" s="33" t="n">
        <x:v>3.7</x:v>
      </x:c>
      <x:c r="S17" s="34" t="str">
        <x:v>edge↑</x:v>
      </x:c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2" t="n">
        <x:v>6</x:v>
      </x:c>
      <x:c r="K18" s="33" t="str">
        <x:v>럼</x:v>
      </x:c>
      <x:c r="L18" s="33" t="n">
        <x:v>1</x:v>
      </x:c>
      <x:c r="M18" s="236" t="n">
        <x:v>51.7</x:v>
      </x:c>
      <x:c r="N18" s="236" t="n">
        <x:v>4.9</x:v>
      </x:c>
      <x:c r="O18" s="33" t="str">
        <x:v>pale</x:v>
      </x:c>
      <x:c r="P18" s="33" t="str">
        <x:v>N</x:v>
      </x:c>
      <x:c r="Q18" s="33" t="n">
        <x:v>4</x:v>
      </x:c>
      <x:c r="R18" s="33" t="n">
        <x:v>4</x:v>
      </x:c>
      <x:c r="S18" s="34" t="str">
        <x:v>edge↑</x:v>
      </x:c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2" t="n">
        <x:v>6</x:v>
      </x:c>
      <x:c r="K19" s="33" t="str">
        <x:v>럼</x:v>
      </x:c>
      <x:c r="L19" s="33" t="n">
        <x:v>2</x:v>
      </x:c>
      <x:c r="M19" s="236" t="n">
        <x:v>50.7</x:v>
      </x:c>
      <x:c r="N19" s="236" t="n">
        <x:v>4.8</x:v>
      </x:c>
      <x:c r="O19" s="33" t="str">
        <x:v>pale</x:v>
      </x:c>
      <x:c r="P19" s="33" t="str">
        <x:v>N</x:v>
      </x:c>
      <x:c r="Q19" s="33" t="n">
        <x:v>2.9</x:v>
      </x:c>
      <x:c r="R19" s="33" t="n">
        <x:v>3.7</x:v>
      </x:c>
      <x:c r="S19" s="34" t="str">
        <x:v>edge↑</x:v>
      </x:c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2" t="n">
        <x:v>6</x:v>
      </x:c>
      <x:c r="K20" s="33" t="str">
        <x:v>슈가coat</x:v>
      </x:c>
      <x:c r="L20" s="33" t="n">
        <x:v>1</x:v>
      </x:c>
      <x:c r="M20" s="236" t="n">
        <x:v>51.1</x:v>
      </x:c>
      <x:c r="N20" s="236" t="n">
        <x:v>5.3</x:v>
      </x:c>
      <x:c r="O20" s="33" t="str">
        <x:v>brown</x:v>
      </x:c>
      <x:c r="P20" s="33" t="str">
        <x:v>Y</x:v>
      </x:c>
      <x:c r="Q20" s="33" t="n">
        <x:v>4.6</x:v>
      </x:c>
      <x:c r="R20" s="33" t="n">
        <x:v>3.9</x:v>
      </x:c>
      <x:c r="S20" s="34" t="str">
        <x:v>edge↑</x:v>
      </x:c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2" t="n">
        <x:v>6</x:v>
      </x:c>
      <x:c r="K21" s="33" t="str">
        <x:v>슈가coat</x:v>
      </x:c>
      <x:c r="L21" s="33" t="n">
        <x:v>2</x:v>
      </x:c>
      <x:c r="M21" s="236" t="n">
        <x:v>51.4</x:v>
      </x:c>
      <x:c r="N21" s="236" t="n">
        <x:v>5.1</x:v>
      </x:c>
      <x:c r="O21" s="33" t="str">
        <x:v>dark edge</x:v>
      </x:c>
      <x:c r="P21" s="33" t="str">
        <x:v>N</x:v>
      </x:c>
      <x:c r="Q21" s="33" t="n">
        <x:v>2.6</x:v>
      </x:c>
      <x:c r="R21" s="33" t="n">
        <x:v>3.9</x:v>
      </x:c>
      <x:c r="S21" s="34" t="str">
        <x:v>dome good</x:v>
      </x:c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2" t="n">
        <x:v>6</x:v>
      </x:c>
      <x:c r="K22" s="33" t="str">
        <x:v>아몬드T</x:v>
      </x:c>
      <x:c r="L22" s="33" t="n">
        <x:v>1</x:v>
      </x:c>
      <x:c r="M22" s="236" t="n">
        <x:v>51.7</x:v>
      </x:c>
      <x:c r="N22" s="236" t="n">
        <x:v>5.7</x:v>
      </x:c>
      <x:c r="O22" s="33" t="str">
        <x:v>brown</x:v>
      </x:c>
      <x:c r="P22" s="33" t="str">
        <x:v>N</x:v>
      </x:c>
      <x:c r="Q22" s="33" t="n">
        <x:v>3</x:v>
      </x:c>
      <x:c r="R22" s="33" t="n">
        <x:v>3.8</x:v>
      </x:c>
      <x:c r="S22" s="34" t="str">
        <x:v>edge↑</x:v>
      </x:c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2" t="n">
        <x:v>6</x:v>
      </x:c>
      <x:c r="K23" s="33" t="str">
        <x:v>아몬드T</x:v>
      </x:c>
      <x:c r="L23" s="33" t="n">
        <x:v>2</x:v>
      </x:c>
      <x:c r="M23" s="236" t="n">
        <x:v>52.5</x:v>
      </x:c>
      <x:c r="N23" s="236" t="n">
        <x:v>5.7</x:v>
      </x:c>
      <x:c r="O23" s="33" t="str">
        <x:v>gold</x:v>
      </x:c>
      <x:c r="P23" s="33" t="str">
        <x:v>N</x:v>
      </x:c>
      <x:c r="Q23" s="33" t="n">
        <x:v>4.5</x:v>
      </x:c>
      <x:c r="R23" s="33" t="n">
        <x:v>4</x:v>
      </x:c>
      <x:c r="S23" s="34" t="str">
        <x:v>edge↑</x:v>
      </x:c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2" t="n">
        <x:v>9</x:v>
      </x:c>
      <x:c r="K24" s="33" t="str">
        <x:v>기본</x:v>
      </x:c>
      <x:c r="L24" s="33" t="n">
        <x:v>1</x:v>
      </x:c>
      <x:c r="M24" s="236" t="n">
        <x:v>60.8</x:v>
      </x:c>
      <x:c r="N24" s="236" t="n">
        <x:v>6.3</x:v>
      </x:c>
      <x:c r="O24" s="33" t="str">
        <x:v>brown</x:v>
      </x:c>
      <x:c r="P24" s="33" t="str">
        <x:v>N</x:v>
      </x:c>
      <x:c r="Q24" s="33" t="n">
        <x:v>3.8</x:v>
      </x:c>
      <x:c r="R24" s="33" t="n">
        <x:v>5.8</x:v>
      </x:c>
      <x:c r="S24" s="34" t="str">
        <x:v>dome good</x:v>
      </x:c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2" t="n">
        <x:v>9</x:v>
      </x:c>
      <x:c r="K25" s="33" t="str">
        <x:v>기본</x:v>
      </x:c>
      <x:c r="L25" s="33" t="n">
        <x:v>2</x:v>
      </x:c>
      <x:c r="M25" s="236" t="n">
        <x:v>61.3</x:v>
      </x:c>
      <x:c r="N25" s="236" t="n">
        <x:v>6.2</x:v>
      </x:c>
      <x:c r="O25" s="33" t="str">
        <x:v>dark edge</x:v>
      </x:c>
      <x:c r="P25" s="33" t="str">
        <x:v>Y</x:v>
      </x:c>
      <x:c r="Q25" s="33" t="n">
        <x:v>2.9</x:v>
      </x:c>
      <x:c r="R25" s="33" t="n">
        <x:v>5.3</x:v>
      </x:c>
      <x:c r="S25" s="34" t="str">
        <x:v>-</x:v>
      </x:c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2" t="n">
        <x:v>9</x:v>
      </x:c>
      <x:c r="K26" s="33" t="str">
        <x:v>럼</x:v>
      </x:c>
      <x:c r="L26" s="33" t="n">
        <x:v>1</x:v>
      </x:c>
      <x:c r="M26" s="236" t="n">
        <x:v>61.9</x:v>
      </x:c>
      <x:c r="N26" s="236" t="n">
        <x:v>6.6</x:v>
      </x:c>
      <x:c r="O26" s="33" t="str">
        <x:v>brown</x:v>
      </x:c>
      <x:c r="P26" s="33" t="str">
        <x:v>Y</x:v>
      </x:c>
      <x:c r="Q26" s="33" t="n">
        <x:v>3.9</x:v>
      </x:c>
      <x:c r="R26" s="33" t="n">
        <x:v>5.8</x:v>
      </x:c>
      <x:c r="S26" s="34" t="str">
        <x:v>dome good</x:v>
      </x:c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2" t="n">
        <x:v>9</x:v>
      </x:c>
      <x:c r="K27" s="33" t="str">
        <x:v>럼</x:v>
      </x:c>
      <x:c r="L27" s="33" t="n">
        <x:v>2</x:v>
      </x:c>
      <x:c r="M27" s="236" t="n">
        <x:v>62</x:v>
      </x:c>
      <x:c r="N27" s="236" t="n">
        <x:v>6.6</x:v>
      </x:c>
      <x:c r="O27" s="33" t="str">
        <x:v>gold</x:v>
      </x:c>
      <x:c r="P27" s="33" t="str">
        <x:v>Y</x:v>
      </x:c>
      <x:c r="Q27" s="33" t="n">
        <x:v>4.6</x:v>
      </x:c>
      <x:c r="R27" s="33" t="n">
        <x:v>5.6</x:v>
      </x:c>
      <x:c r="S27" s="34" t="str">
        <x:v>-</x:v>
      </x:c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2" t="n">
        <x:v>12</x:v>
      </x:c>
      <x:c r="K28" s="33" t="str">
        <x:v>기본</x:v>
      </x:c>
      <x:c r="L28" s="33" t="n">
        <x:v>1</x:v>
      </x:c>
      <x:c r="M28" s="236" t="n">
        <x:v>72</x:v>
      </x:c>
      <x:c r="N28" s="236" t="n">
        <x:v>7</x:v>
      </x:c>
      <x:c r="O28" s="33" t="str">
        <x:v>dark edge</x:v>
      </x:c>
      <x:c r="P28" s="33" t="str">
        <x:v>N</x:v>
      </x:c>
      <x:c r="Q28" s="33" t="n">
        <x:v>4.3</x:v>
      </x:c>
      <x:c r="R28" s="33" t="n">
        <x:v>6.8</x:v>
      </x:c>
      <x:c r="S28" s="34" t="str">
        <x:v>-</x:v>
      </x:c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2" t="n">
        <x:v>12</x:v>
      </x:c>
      <x:c r="K29" s="33" t="str">
        <x:v>기본</x:v>
      </x:c>
      <x:c r="L29" s="33" t="n">
        <x:v>2</x:v>
      </x:c>
      <x:c r="M29" s="236" t="n">
        <x:v>72.6</x:v>
      </x:c>
      <x:c r="N29" s="236" t="n">
        <x:v>7.3</x:v>
      </x:c>
      <x:c r="O29" s="33" t="str">
        <x:v>dark edge</x:v>
      </x:c>
      <x:c r="P29" s="33" t="str">
        <x:v>Y</x:v>
      </x:c>
      <x:c r="Q29" s="33" t="n">
        <x:v>3.2</x:v>
      </x:c>
      <x:c r="R29" s="33" t="n">
        <x:v>7.3</x:v>
      </x:c>
      <x:c r="S29" s="34" t="str">
        <x:v>edge↑</x:v>
      </x:c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2" t="n">
        <x:v>12</x:v>
      </x:c>
      <x:c r="K30" s="33" t="str">
        <x:v>럼</x:v>
      </x:c>
      <x:c r="L30" s="33" t="n">
        <x:v>1</x:v>
      </x:c>
      <x:c r="M30" s="236" t="n">
        <x:v>72.2</x:v>
      </x:c>
      <x:c r="N30" s="236" t="n">
        <x:v>7.5</x:v>
      </x:c>
      <x:c r="O30" s="33" t="str">
        <x:v>brown</x:v>
      </x:c>
      <x:c r="P30" s="33" t="str">
        <x:v>Y</x:v>
      </x:c>
      <x:c r="Q30" s="33" t="n">
        <x:v>3.1</x:v>
      </x:c>
      <x:c r="R30" s="33" t="n">
        <x:v>7.4</x:v>
      </x:c>
      <x:c r="S30" s="34" t="str">
        <x:v>edge↑</x:v>
      </x:c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2" t="n">
        <x:v>12</x:v>
      </x:c>
      <x:c r="K31" s="33" t="str">
        <x:v>럼</x:v>
      </x:c>
      <x:c r="L31" s="33" t="n">
        <x:v>2</x:v>
      </x:c>
      <x:c r="M31" s="236" t="n">
        <x:v>73.4</x:v>
      </x:c>
      <x:c r="N31" s="236" t="n">
        <x:v>7.8</x:v>
      </x:c>
      <x:c r="O31" s="33" t="str">
        <x:v>pale</x:v>
      </x:c>
      <x:c r="P31" s="33" t="str">
        <x:v>N</x:v>
      </x:c>
      <x:c r="Q31" s="33" t="n">
        <x:v>3.9</x:v>
      </x:c>
      <x:c r="R31" s="33" t="n">
        <x:v>6.9</x:v>
      </x:c>
      <x:c r="S31" s="34" t="str">
        <x:v>edge↑</x:v>
      </x:c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2" t="n">
        <x:v>12</x:v>
      </x:c>
      <x:c r="K32" s="33" t="str">
        <x:v>슈가coat</x:v>
      </x:c>
      <x:c r="L32" s="33" t="n">
        <x:v>1</x:v>
      </x:c>
      <x:c r="M32" s="236" t="n">
        <x:v>73.2</x:v>
      </x:c>
      <x:c r="N32" s="236" t="n">
        <x:v>8</x:v>
      </x:c>
      <x:c r="O32" s="33" t="str">
        <x:v>pale</x:v>
      </x:c>
      <x:c r="P32" s="33" t="str">
        <x:v>N</x:v>
      </x:c>
      <x:c r="Q32" s="33" t="n">
        <x:v>4.1</x:v>
      </x:c>
      <x:c r="R32" s="33" t="n">
        <x:v>7.2</x:v>
      </x:c>
      <x:c r="S32" s="34" t="str">
        <x:v>-</x:v>
      </x:c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2" t="n">
        <x:v>12</x:v>
      </x:c>
      <x:c r="K33" s="33" t="str">
        <x:v>슈가coat</x:v>
      </x:c>
      <x:c r="L33" s="33" t="n">
        <x:v>2</x:v>
      </x:c>
      <x:c r="M33" s="236" t="n">
        <x:v>73.4</x:v>
      </x:c>
      <x:c r="N33" s="236" t="n">
        <x:v>8</x:v>
      </x:c>
      <x:c r="O33" s="33" t="str">
        <x:v>pale</x:v>
      </x:c>
      <x:c r="P33" s="33" t="str">
        <x:v>N</x:v>
      </x:c>
      <x:c r="Q33" s="33" t="n">
        <x:v>4</x:v>
      </x:c>
      <x:c r="R33" s="33" t="n">
        <x:v>7</x:v>
      </x:c>
      <x:c r="S33" s="34" t="str">
        <x:v>edge↑</x:v>
      </x:c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2" t="n">
        <x:v>12</x:v>
      </x:c>
      <x:c r="K34" s="33" t="str">
        <x:v>아몬드T</x:v>
      </x:c>
      <x:c r="L34" s="33" t="n">
        <x:v>1</x:v>
      </x:c>
      <x:c r="M34" s="236" t="n">
        <x:v>73.7</x:v>
      </x:c>
      <x:c r="N34" s="236" t="n">
        <x:v>8.7</x:v>
      </x:c>
      <x:c r="O34" s="33" t="str">
        <x:v>gold</x:v>
      </x:c>
      <x:c r="P34" s="33" t="str">
        <x:v>Y</x:v>
      </x:c>
      <x:c r="Q34" s="33" t="n">
        <x:v>3</x:v>
      </x:c>
      <x:c r="R34" s="33" t="n">
        <x:v>7.4</x:v>
      </x:c>
      <x:c r="S34" s="34" t="str">
        <x:v>edge↑</x:v>
      </x:c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2" t="n">
        <x:v>12</x:v>
      </x:c>
      <x:c r="K35" s="33" t="str">
        <x:v>아몬드T</x:v>
      </x:c>
      <x:c r="L35" s="33" t="n">
        <x:v>2</x:v>
      </x:c>
      <x:c r="M35" s="236" t="n">
        <x:v>73.6</x:v>
      </x:c>
      <x:c r="N35" s="236" t="n">
        <x:v>8.5</x:v>
      </x:c>
      <x:c r="O35" s="33" t="str">
        <x:v>pale</x:v>
      </x:c>
      <x:c r="P35" s="33" t="str">
        <x:v>N</x:v>
      </x:c>
      <x:c r="Q35" s="33" t="n">
        <x:v>3.6</x:v>
      </x:c>
      <x:c r="R35" s="33" t="n">
        <x:v>7.2</x:v>
      </x:c>
      <x:c r="S35" s="34" t="str">
        <x:v>edge↑</x:v>
      </x:c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2" t="n">
        <x:v>15</x:v>
      </x:c>
      <x:c r="K36" s="33" t="str">
        <x:v>기본</x:v>
      </x:c>
      <x:c r="L36" s="33" t="n">
        <x:v>1</x:v>
      </x:c>
      <x:c r="M36" s="236" t="n">
        <x:v>81.9</x:v>
      </x:c>
      <x:c r="N36" s="236" t="n">
        <x:v>8.8</x:v>
      </x:c>
      <x:c r="O36" s="33" t="str">
        <x:v>brown</x:v>
      </x:c>
      <x:c r="P36" s="33" t="str">
        <x:v>N</x:v>
      </x:c>
      <x:c r="Q36" s="33" t="n">
        <x:v>3.2</x:v>
      </x:c>
      <x:c r="R36" s="33" t="n">
        <x:v>9</x:v>
      </x:c>
      <x:c r="S36" s="34" t="str">
        <x:v>사진</x:v>
      </x:c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2" t="n">
        <x:v>15</x:v>
      </x:c>
      <x:c r="K37" s="33" t="str">
        <x:v>기본</x:v>
      </x:c>
      <x:c r="L37" s="33" t="n">
        <x:v>2</x:v>
      </x:c>
      <x:c r="M37" s="236" t="n">
        <x:v>83.3</x:v>
      </x:c>
      <x:c r="N37" s="236" t="n">
        <x:v>8.9</x:v>
      </x:c>
      <x:c r="O37" s="33" t="str">
        <x:v>brown</x:v>
      </x:c>
      <x:c r="P37" s="33" t="str">
        <x:v>N</x:v>
      </x:c>
      <x:c r="Q37" s="33" t="n">
        <x:v>3</x:v>
      </x:c>
      <x:c r="R37" s="33" t="n">
        <x:v>8.7</x:v>
      </x:c>
      <x:c r="S37" s="34" t="str">
        <x:v>edge↑</x:v>
      </x:c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2" t="n">
        <x:v>15</x:v>
      </x:c>
      <x:c r="K38" s="33" t="str">
        <x:v>슈가coat</x:v>
      </x:c>
      <x:c r="L38" s="33" t="n">
        <x:v>1</x:v>
      </x:c>
      <x:c r="M38" s="236" t="n">
        <x:v>82.8</x:v>
      </x:c>
      <x:c r="N38" s="236" t="n">
        <x:v>9.1</x:v>
      </x:c>
      <x:c r="O38" s="33" t="str">
        <x:v>gold</x:v>
      </x:c>
      <x:c r="P38" s="33" t="str">
        <x:v>N</x:v>
      </x:c>
      <x:c r="Q38" s="33" t="n">
        <x:v>4</x:v>
      </x:c>
      <x:c r="R38" s="33" t="n">
        <x:v>8.5</x:v>
      </x:c>
      <x:c r="S38" s="34" t="str">
        <x:v>사진</x:v>
      </x:c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2" t="n">
        <x:v>15</x:v>
      </x:c>
      <x:c r="K39" s="33" t="str">
        <x:v>슈가coat</x:v>
      </x:c>
      <x:c r="L39" s="33" t="n">
        <x:v>2</x:v>
      </x:c>
      <x:c r="M39" s="236" t="n">
        <x:v>83.2</x:v>
      </x:c>
      <x:c r="N39" s="236" t="n">
        <x:v>8.8</x:v>
      </x:c>
      <x:c r="O39" s="33" t="str">
        <x:v>gold</x:v>
      </x:c>
      <x:c r="P39" s="33" t="str">
        <x:v>N</x:v>
      </x:c>
      <x:c r="Q39" s="33" t="n">
        <x:v>3.5</x:v>
      </x:c>
      <x:c r="R39" s="33" t="n">
        <x:v>8.5</x:v>
      </x:c>
      <x:c r="S39" s="34" t="str">
        <x:v>사진</x:v>
      </x:c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2" t="n">
        <x:v>18</x:v>
      </x:c>
      <x:c r="K40" s="33" t="str">
        <x:v>기본</x:v>
      </x:c>
      <x:c r="L40" s="33" t="n">
        <x:v>1</x:v>
      </x:c>
      <x:c r="M40" s="236" t="n">
        <x:v>93.6</x:v>
      </x:c>
      <x:c r="N40" s="236" t="n">
        <x:v>10.2</x:v>
      </x:c>
      <x:c r="O40" s="33" t="str">
        <x:v>gold</x:v>
      </x:c>
      <x:c r="P40" s="33" t="str">
        <x:v>Y</x:v>
      </x:c>
      <x:c r="Q40" s="33" t="n">
        <x:v>4</x:v>
      </x:c>
      <x:c r="R40" s="33" t="n">
        <x:v>10.4</x:v>
      </x:c>
      <x:c r="S40" s="34" t="str">
        <x:v>사진</x:v>
      </x:c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2" t="n">
        <x:v>18</x:v>
      </x:c>
      <x:c r="K41" s="33" t="str">
        <x:v>기본</x:v>
      </x:c>
      <x:c r="L41" s="33" t="n">
        <x:v>2</x:v>
      </x:c>
      <x:c r="M41" s="236" t="n">
        <x:v>93.8</x:v>
      </x:c>
      <x:c r="N41" s="236" t="n">
        <x:v>10.1</x:v>
      </x:c>
      <x:c r="O41" s="33" t="str">
        <x:v>brown</x:v>
      </x:c>
      <x:c r="P41" s="33" t="str">
        <x:v>N</x:v>
      </x:c>
      <x:c r="Q41" s="33" t="n">
        <x:v>3.9</x:v>
      </x:c>
      <x:c r="R41" s="33" t="n">
        <x:v>10.4</x:v>
      </x:c>
      <x:c r="S41" s="34" t="str">
        <x:v>edge↑</x:v>
      </x:c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2" t="n">
        <x:v>18</x:v>
      </x:c>
      <x:c r="K42" s="33" t="str">
        <x:v>럼</x:v>
      </x:c>
      <x:c r="L42" s="33" t="n">
        <x:v>1</x:v>
      </x:c>
      <x:c r="M42" s="236" t="n">
        <x:v>93.6</x:v>
      </x:c>
      <x:c r="N42" s="236" t="n">
        <x:v>10.6</x:v>
      </x:c>
      <x:c r="O42" s="33" t="str">
        <x:v>gold</x:v>
      </x:c>
      <x:c r="P42" s="33" t="str">
        <x:v>Y</x:v>
      </x:c>
      <x:c r="Q42" s="33" t="n">
        <x:v>4.1</x:v>
      </x:c>
      <x:c r="R42" s="33" t="n">
        <x:v>10.3</x:v>
      </x:c>
      <x:c r="S42" s="34" t="str">
        <x:v>-</x:v>
      </x:c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2" t="n">
        <x:v>18</x:v>
      </x:c>
      <x:c r="K43" s="33" t="str">
        <x:v>럼</x:v>
      </x:c>
      <x:c r="L43" s="33" t="n">
        <x:v>2</x:v>
      </x:c>
      <x:c r="M43" s="236" t="n">
        <x:v>93.7</x:v>
      </x:c>
      <x:c r="N43" s="236" t="n">
        <x:v>10.3</x:v>
      </x:c>
      <x:c r="O43" s="33" t="str">
        <x:v>brown</x:v>
      </x:c>
      <x:c r="P43" s="33" t="str">
        <x:v>Y</x:v>
      </x:c>
      <x:c r="Q43" s="33" t="n">
        <x:v>5</x:v>
      </x:c>
      <x:c r="R43" s="33" t="n">
        <x:v>10.1</x:v>
      </x:c>
      <x:c r="S43" s="34" t="str">
        <x:v>-</x:v>
      </x:c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2" t="n">
        <x:v>18</x:v>
      </x:c>
      <x:c r="K44" s="33" t="str">
        <x:v>슈가coat</x:v>
      </x:c>
      <x:c r="L44" s="33" t="n">
        <x:v>1</x:v>
      </x:c>
      <x:c r="M44" s="236" t="n">
        <x:v>94.3</x:v>
      </x:c>
      <x:c r="N44" s="236" t="n">
        <x:v>10.7</x:v>
      </x:c>
      <x:c r="O44" s="33" t="str">
        <x:v>pale</x:v>
      </x:c>
      <x:c r="P44" s="33" t="str">
        <x:v>Y</x:v>
      </x:c>
      <x:c r="Q44" s="33" t="n">
        <x:v>4.6</x:v>
      </x:c>
      <x:c r="R44" s="33" t="n">
        <x:v>10.1</x:v>
      </x:c>
      <x:c r="S44" s="34" t="str">
        <x:v>edge↑</x:v>
      </x:c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2" t="n">
        <x:v>18</x:v>
      </x:c>
      <x:c r="K45" s="33" t="str">
        <x:v>슈가coat</x:v>
      </x:c>
      <x:c r="L45" s="33" t="n">
        <x:v>2</x:v>
      </x:c>
      <x:c r="M45" s="236" t="n">
        <x:v>94.1</x:v>
      </x:c>
      <x:c r="N45" s="236" t="n">
        <x:v>11.1</x:v>
      </x:c>
      <x:c r="O45" s="33" t="str">
        <x:v>brown</x:v>
      </x:c>
      <x:c r="P45" s="33" t="str">
        <x:v>Y</x:v>
      </x:c>
      <x:c r="Q45" s="33" t="n">
        <x:v>4.3</x:v>
      </x:c>
      <x:c r="R45" s="33" t="n">
        <x:v>10.5</x:v>
      </x:c>
      <x:c r="S45" s="34" t="str">
        <x:v>사진</x:v>
      </x:c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2" t="n">
        <x:v>18</x:v>
      </x:c>
      <x:c r="K46" s="33" t="str">
        <x:v>아몬드T</x:v>
      </x:c>
      <x:c r="L46" s="33" t="n">
        <x:v>1</x:v>
      </x:c>
      <x:c r="M46" s="236" t="n">
        <x:v>94.7</x:v>
      </x:c>
      <x:c r="N46" s="236" t="n">
        <x:v>11.5</x:v>
      </x:c>
      <x:c r="O46" s="33" t="str">
        <x:v>pale</x:v>
      </x:c>
      <x:c r="P46" s="33" t="str">
        <x:v>N</x:v>
      </x:c>
      <x:c r="Q46" s="33" t="n">
        <x:v>3.9</x:v>
      </x:c>
      <x:c r="R46" s="33" t="n">
        <x:v>10.2</x:v>
      </x:c>
      <x:c r="S46" s="34" t="str">
        <x:v>dome good</x:v>
      </x:c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2" t="n">
        <x:v>18</x:v>
      </x:c>
      <x:c r="K47" s="33" t="str">
        <x:v>아몬드T</x:v>
      </x:c>
      <x:c r="L47" s="33" t="n">
        <x:v>2</x:v>
      </x:c>
      <x:c r="M47" s="236" t="n">
        <x:v>94.9</x:v>
      </x:c>
      <x:c r="N47" s="236" t="n">
        <x:v>10.9</x:v>
      </x:c>
      <x:c r="O47" s="33" t="str">
        <x:v>gold</x:v>
      </x:c>
      <x:c r="P47" s="33" t="str">
        <x:v>N</x:v>
      </x:c>
      <x:c r="Q47" s="33" t="n">
        <x:v>3.4</x:v>
      </x:c>
      <x:c r="R47" s="33" t="n">
        <x:v>10.1</x:v>
      </x:c>
      <x:c r="S47" s="34" t="str">
        <x:v>dome good</x:v>
      </x:c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2" t="n">
        <x:v>21</x:v>
      </x:c>
      <x:c r="K48" s="33" t="str">
        <x:v>기본</x:v>
      </x:c>
      <x:c r="L48" s="33" t="n">
        <x:v>1</x:v>
      </x:c>
      <x:c r="M48" s="236" t="n">
        <x:v>99.4</x:v>
      </x:c>
      <x:c r="N48" s="236" t="n">
        <x:v>11.3</x:v>
      </x:c>
      <x:c r="O48" s="33" t="str">
        <x:v>brown</x:v>
      </x:c>
      <x:c r="P48" s="33" t="str">
        <x:v>N</x:v>
      </x:c>
      <x:c r="Q48" s="33" t="n">
        <x:v>4.8</x:v>
      </x:c>
      <x:c r="R48" s="33" t="n">
        <x:v>11.6</x:v>
      </x:c>
      <x:c r="S48" s="34" t="str">
        <x:v>edge↑</x:v>
      </x:c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2" t="n">
        <x:v>21</x:v>
      </x:c>
      <x:c r="K49" s="33" t="str">
        <x:v>기본</x:v>
      </x:c>
      <x:c r="L49" s="33" t="n">
        <x:v>2</x:v>
      </x:c>
      <x:c r="M49" s="236" t="n">
        <x:v>99.4</x:v>
      </x:c>
      <x:c r="N49" s="236" t="n">
        <x:v>11.5</x:v>
      </x:c>
      <x:c r="O49" s="33" t="str">
        <x:v>dark edge</x:v>
      </x:c>
      <x:c r="P49" s="33" t="str">
        <x:v>N</x:v>
      </x:c>
      <x:c r="Q49" s="33" t="n">
        <x:v>4.2</x:v>
      </x:c>
      <x:c r="R49" s="33" t="n">
        <x:v>11.8</x:v>
      </x:c>
      <x:c r="S49" s="34" t="str">
        <x:v>edge↑</x:v>
      </x:c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2" t="n">
        <x:v>21</x:v>
      </x:c>
      <x:c r="K50" s="33" t="str">
        <x:v>럼</x:v>
      </x:c>
      <x:c r="L50" s="33" t="n">
        <x:v>1</x:v>
      </x:c>
      <x:c r="M50" s="236" t="n">
        <x:v>99.4</x:v>
      </x:c>
      <x:c r="N50" s="236" t="n">
        <x:v>11.7</x:v>
      </x:c>
      <x:c r="O50" s="33" t="str">
        <x:v>pale</x:v>
      </x:c>
      <x:c r="P50" s="33" t="str">
        <x:v>N</x:v>
      </x:c>
      <x:c r="Q50" s="33" t="n">
        <x:v>2.6</x:v>
      </x:c>
      <x:c r="R50" s="33" t="n">
        <x:v>11.8</x:v>
      </x:c>
      <x:c r="S50" s="34" t="str">
        <x:v>dome good</x:v>
      </x:c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5" t="n">
        <x:v>21</x:v>
      </x:c>
      <x:c r="K51" s="36" t="str">
        <x:v>럼</x:v>
      </x:c>
      <x:c r="L51" s="36" t="n">
        <x:v>2</x:v>
      </x:c>
      <x:c r="M51" s="237" t="n">
        <x:v>99.4</x:v>
      </x:c>
      <x:c r="N51" s="237" t="n">
        <x:v>11.5</x:v>
      </x:c>
      <x:c r="O51" s="36" t="str">
        <x:v>pale</x:v>
      </x:c>
      <x:c r="P51" s="36" t="str">
        <x:v>N</x:v>
      </x:c>
      <x:c r="Q51" s="36" t="n">
        <x:v>2.7</x:v>
      </x:c>
      <x:c r="R51" s="36" t="n">
        <x:v>11.5</x:v>
      </x:c>
      <x:c r="S51" s="37" t="str">
        <x:v>사진</x:v>
      </x:c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</x:sheetData>
  <x:mergeCells>
    <x:mergeCell ref="D3:P4"/>
    <x:mergeCell ref="K8:K9"/>
    <x:mergeCell ref="J8:J9"/>
    <x:mergeCell ref="K10:K11"/>
    <x:mergeCell ref="J10:J11"/>
    <x:mergeCell ref="K12:K13"/>
    <x:mergeCell ref="J12:J13"/>
    <x:mergeCell ref="K14:K15"/>
    <x:mergeCell ref="J14:J15"/>
    <x:mergeCell ref="K16:K17"/>
    <x:mergeCell ref="J16:J17"/>
    <x:mergeCell ref="K18:K19"/>
    <x:mergeCell ref="J18:J19"/>
    <x:mergeCell ref="K20:K21"/>
    <x:mergeCell ref="J20:J21"/>
    <x:mergeCell ref="K22:K23"/>
    <x:mergeCell ref="J22:J23"/>
    <x:mergeCell ref="K24:K25"/>
    <x:mergeCell ref="J24:J25"/>
    <x:mergeCell ref="K26:K27"/>
    <x:mergeCell ref="J26:J27"/>
    <x:mergeCell ref="K28:K29"/>
    <x:mergeCell ref="J28:J29"/>
    <x:mergeCell ref="K30:K31"/>
    <x:mergeCell ref="J30:J31"/>
    <x:mergeCell ref="K32:K33"/>
    <x:mergeCell ref="J32:J33"/>
    <x:mergeCell ref="K34:K35"/>
    <x:mergeCell ref="J34:J35"/>
    <x:mergeCell ref="K36:K37"/>
    <x:mergeCell ref="J36:J37"/>
    <x:mergeCell ref="K38:K39"/>
    <x:mergeCell ref="J38:J39"/>
    <x:mergeCell ref="K40:K41"/>
    <x:mergeCell ref="J40:J41"/>
    <x:mergeCell ref="K42:K43"/>
    <x:mergeCell ref="J42:J43"/>
    <x:mergeCell ref="K44:K45"/>
    <x:mergeCell ref="J44:J45"/>
    <x:mergeCell ref="K46:K47"/>
    <x:mergeCell ref="J46:J47"/>
    <x:mergeCell ref="K48:K49"/>
    <x:mergeCell ref="J48:J49"/>
    <x:mergeCell ref="K50:K51"/>
    <x:mergeCell ref="J50:J51"/>
  </x:mergeCells>
  <x:pageMargins left="0.7" right="0.7" top="0.75" bottom="0.75" header="0.3" footer="0.3"/>
  <x:drawing xmlns:r="http://schemas.openxmlformats.org/officeDocument/2006/relationships" r:id="R320b0ff59c62448f"/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1">
      <x:c r="A1" s="33"/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33"/>
      <x:c r="B3" s="33"/>
      <x:c r="C3" s="33"/>
      <x:c r="D3" s="170" t="str">
        <x:v>오리지날  OVEN=205℃ / 실험기록</x:v>
      </x:c>
      <x:c r="E3" s="171"/>
      <x:c r="F3" s="171"/>
      <x:c r="G3" s="171"/>
      <x:c r="H3" s="171"/>
      <x:c r="I3" s="171"/>
      <x:c r="J3" s="171"/>
      <x:c r="K3" s="171"/>
      <x:c r="L3" s="171"/>
      <x:c r="M3" s="171"/>
      <x:c r="N3" s="171"/>
      <x:c r="O3" s="171"/>
      <x:c r="P3" s="172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33"/>
      <x:c r="B4" s="33"/>
      <x:c r="C4" s="33"/>
      <x:c r="D4" s="173"/>
      <x:c r="E4" s="174"/>
      <x:c r="F4" s="174"/>
      <x:c r="G4" s="174"/>
      <x:c r="H4" s="174"/>
      <x:c r="I4" s="174"/>
      <x:c r="J4" s="174"/>
      <x:c r="K4" s="174"/>
      <x:c r="L4" s="174"/>
      <x:c r="M4" s="174"/>
      <x:c r="N4" s="174"/>
      <x:c r="O4" s="174"/>
      <x:c r="P4" s="175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3"/>
      <x:c r="B6" s="33"/>
      <x:c r="C6" s="33"/>
      <x:c r="D6" s="29" t="str">
        <x:v>batch</x:v>
      </x:c>
      <x:c r="E6" s="30" t="str">
        <x:v>오-205-A</x:v>
      </x:c>
      <x:c r="F6" s="30" t="str">
        <x:v>fan</x:v>
      </x:c>
      <x:c r="G6" s="30" t="str">
        <x:v>약풍</x:v>
      </x:c>
      <x:c r="H6" s="31" t="str">
        <x:v>memo</x:v>
      </x:c>
      <x:c r="I6" s="33"/>
      <x:c r="J6" s="58" t="str">
        <x:v>Time</x:v>
      </x:c>
      <x:c r="K6" s="59" t="str">
        <x:v>Add-in</x:v>
      </x:c>
      <x:c r="L6" s="59" t="str">
        <x:v>rep</x:v>
      </x:c>
      <x:c r="M6" s="59" t="str">
        <x:v>core T</x:v>
      </x:c>
      <x:c r="N6" s="59" t="str">
        <x:v>rise</x:v>
      </x:c>
      <x:c r="O6" s="59" t="str">
        <x:v>surface</x:v>
      </x:c>
      <x:c r="P6" s="59" t="str">
        <x:v>crack</x:v>
      </x:c>
      <x:c r="Q6" s="59" t="str">
        <x:v>moist</x:v>
      </x:c>
      <x:c r="R6" s="59" t="str">
        <x:v>loss</x:v>
      </x:c>
      <x:c r="S6" s="60" t="str">
        <x:v>memo</x:v>
      </x:c>
      <x:c r="T6" s="33"/>
      <x:c r="U6" s="33"/>
      <x:c r="V6" s="33"/>
      <x:c r="W6" s="33"/>
      <x:c r="X6" s="33"/>
      <x:c r="Y6" s="33"/>
      <x:c r="Z6" s="33"/>
    </x:row>
    <x:row r="7">
      <x:c r="A7" s="33"/>
      <x:c r="B7" s="33"/>
      <x:c r="C7" s="33"/>
      <x:c r="D7" s="32" t="str">
        <x:v>실내</x:v>
      </x:c>
      <x:c r="E7" s="33" t="str">
        <x:v>25℃</x:v>
      </x:c>
      <x:c r="F7" s="33" t="str">
        <x:v>반죽숙성</x:v>
      </x:c>
      <x:c r="G7" s="33" t="str">
        <x:v>8h</x:v>
      </x:c>
      <x:c r="H7" s="34" t="str">
        <x:v>수기</x:v>
      </x:c>
      <x:c r="I7" s="33"/>
      <x:c r="J7" s="212" t="str">
        <x:v>min</x:v>
      </x:c>
      <x:c r="K7" s="213" t="str">
        <x:v>조건</x:v>
      </x:c>
      <x:c r="L7" s="213" t="str">
        <x:v>#</x:v>
      </x:c>
      <x:c r="M7" s="213" t="str">
        <x:v>℃</x:v>
      </x:c>
      <x:c r="N7" s="213" t="str">
        <x:v>mm</x:v>
      </x:c>
      <x:c r="O7" s="213" t="str">
        <x:v>visual</x:v>
      </x:c>
      <x:c r="P7" s="213" t="str">
        <x:v>Y/N</x:v>
      </x:c>
      <x:c r="Q7" s="213" t="str">
        <x:v>1~5</x:v>
      </x:c>
      <x:c r="R7" s="213" t="str">
        <x:v>%</x:v>
      </x:c>
      <x:c r="S7" s="214" t="str"/>
      <x:c r="T7" s="33"/>
      <x:c r="U7" s="33"/>
      <x:c r="V7" s="33"/>
      <x:c r="W7" s="33"/>
      <x:c r="X7" s="33"/>
      <x:c r="Y7" s="33"/>
      <x:c r="Z7" s="33"/>
    </x:row>
    <x:row r="8">
      <x:c r="A8" s="33"/>
      <x:c r="B8" s="33"/>
      <x:c r="C8" s="33"/>
      <x:c r="D8" s="32" t="str">
        <x:v>몰드</x:v>
      </x:c>
      <x:c r="E8" s="33" t="str">
        <x:v>12구</x:v>
      </x:c>
      <x:c r="F8" s="33" t="str">
        <x:v>probe</x:v>
      </x:c>
      <x:c r="G8" s="33" t="str">
        <x:v>center</x:v>
      </x:c>
      <x:c r="H8" s="34" t="str">
        <x:v>K-type</x:v>
      </x:c>
      <x:c r="I8" s="33"/>
      <x:c r="J8" s="29" t="n">
        <x:v>0</x:v>
      </x:c>
      <x:c r="K8" s="30" t="str">
        <x:v>기본</x:v>
      </x:c>
      <x:c r="L8" s="30" t="n">
        <x:v>1</x:v>
      </x:c>
      <x:c r="M8" s="235" t="n">
        <x:v>30.4</x:v>
      </x:c>
      <x:c r="N8" s="235" t="n">
        <x:v>1.6</x:v>
      </x:c>
      <x:c r="O8" s="30" t="str">
        <x:v>brown</x:v>
      </x:c>
      <x:c r="P8" s="30" t="str">
        <x:v>N</x:v>
      </x:c>
      <x:c r="Q8" s="30" t="n">
        <x:v>3.6</x:v>
      </x:c>
      <x:c r="R8" s="30" t="n">
        <x:v>1.3</x:v>
      </x:c>
      <x:c r="S8" s="31" t="str">
        <x:v>-</x:v>
      </x:c>
      <x:c r="T8" s="33"/>
      <x:c r="U8" s="33"/>
      <x:c r="V8" s="33"/>
      <x:c r="W8" s="33"/>
      <x:c r="X8" s="33"/>
      <x:c r="Y8" s="33"/>
      <x:c r="Z8" s="33"/>
    </x:row>
    <x:row r="9">
      <x:c r="A9" s="33"/>
      <x:c r="B9" s="33"/>
      <x:c r="C9" s="33"/>
      <x:c r="D9" s="32" t="str">
        <x:v>note</x:v>
      </x:c>
      <x:c r="E9" s="33" t="str">
        <x:v>같은 시간 여러 부재료는 merge</x:v>
      </x:c>
      <x:c r="F9" s="33" t="str"/>
      <x:c r="G9" s="33" t="str"/>
      <x:c r="H9" s="34" t="str"/>
      <x:c r="I9" s="33"/>
      <x:c r="J9" s="32" t="n">
        <x:v>0</x:v>
      </x:c>
      <x:c r="K9" s="33" t="str">
        <x:v>기본</x:v>
      </x:c>
      <x:c r="L9" s="33" t="n">
        <x:v>2</x:v>
      </x:c>
      <x:c r="M9" s="236" t="n">
        <x:v>30.4</x:v>
      </x:c>
      <x:c r="N9" s="236" t="n">
        <x:v>1.7</x:v>
      </x:c>
      <x:c r="O9" s="33" t="str">
        <x:v>brown</x:v>
      </x:c>
      <x:c r="P9" s="33" t="str">
        <x:v>N</x:v>
      </x:c>
      <x:c r="Q9" s="33" t="n">
        <x:v>3.5</x:v>
      </x:c>
      <x:c r="R9" s="33" t="n">
        <x:v>1.1</x:v>
      </x:c>
      <x:c r="S9" s="34" t="str">
        <x:v>-</x:v>
      </x:c>
      <x:c r="T9" s="33"/>
      <x:c r="U9" s="33"/>
      <x:c r="V9" s="33"/>
      <x:c r="W9" s="33"/>
      <x:c r="X9" s="33"/>
      <x:c r="Y9" s="33"/>
      <x:c r="Z9" s="33"/>
    </x:row>
    <x:row r="10">
      <x:c r="A10" s="33"/>
      <x:c r="B10" s="33"/>
      <x:c r="C10" s="33"/>
      <x:c r="D10" s="35" t="str">
        <x:v>operator</x:v>
      </x:c>
      <x:c r="E10" s="36" t="str">
        <x:v>KIM</x:v>
      </x:c>
      <x:c r="F10" s="36" t="str">
        <x:v>n</x:v>
      </x:c>
      <x:c r="G10" s="36" t="str">
        <x:v>2</x:v>
      </x:c>
      <x:c r="H10" s="37" t="str"/>
      <x:c r="I10" s="33"/>
      <x:c r="J10" s="32" t="n">
        <x:v>0</x:v>
      </x:c>
      <x:c r="K10" s="33" t="str">
        <x:v>아몬드T</x:v>
      </x:c>
      <x:c r="L10" s="33" t="n">
        <x:v>1</x:v>
      </x:c>
      <x:c r="M10" s="236" t="n">
        <x:v>31</x:v>
      </x:c>
      <x:c r="N10" s="236" t="n">
        <x:v>2.3</x:v>
      </x:c>
      <x:c r="O10" s="33" t="str">
        <x:v>brown</x:v>
      </x:c>
      <x:c r="P10" s="33" t="str">
        <x:v>Y</x:v>
      </x:c>
      <x:c r="Q10" s="33" t="n">
        <x:v>4.5</x:v>
      </x:c>
      <x:c r="R10" s="33" t="n">
        <x:v>1</x:v>
      </x:c>
      <x:c r="S10" s="34" t="str">
        <x:v>edge↑</x:v>
      </x:c>
      <x:c r="T10" s="33"/>
      <x:c r="U10" s="33"/>
      <x:c r="V10" s="33"/>
      <x:c r="W10" s="33"/>
      <x:c r="X10" s="33"/>
      <x:c r="Y10" s="33"/>
      <x:c r="Z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2" t="n">
        <x:v>0</x:v>
      </x:c>
      <x:c r="K11" s="33" t="str">
        <x:v>아몬드T</x:v>
      </x:c>
      <x:c r="L11" s="33" t="n">
        <x:v>2</x:v>
      </x:c>
      <x:c r="M11" s="236" t="n">
        <x:v>31.4</x:v>
      </x:c>
      <x:c r="N11" s="236" t="n">
        <x:v>1.7</x:v>
      </x:c>
      <x:c r="O11" s="33" t="str">
        <x:v>pale</x:v>
      </x:c>
      <x:c r="P11" s="33" t="str">
        <x:v>Y</x:v>
      </x:c>
      <x:c r="Q11" s="33" t="n">
        <x:v>4.2</x:v>
      </x:c>
      <x:c r="R11" s="33" t="n">
        <x:v>1.1</x:v>
      </x:c>
      <x:c r="S11" s="34" t="str">
        <x:v>사진</x:v>
      </x:c>
      <x:c r="T11" s="33"/>
      <x:c r="U11" s="33"/>
      <x:c r="V11" s="33"/>
      <x:c r="W11" s="33"/>
      <x:c r="X11" s="33"/>
      <x:c r="Y11" s="33"/>
      <x:c r="Z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2" t="n">
        <x:v>3</x:v>
      </x:c>
      <x:c r="K12" s="33" t="str">
        <x:v>기본</x:v>
      </x:c>
      <x:c r="L12" s="33" t="n">
        <x:v>1</x:v>
      </x:c>
      <x:c r="M12" s="236" t="n">
        <x:v>41.1</x:v>
      </x:c>
      <x:c r="N12" s="236" t="n">
        <x:v>2.9</x:v>
      </x:c>
      <x:c r="O12" s="33" t="str">
        <x:v>gold</x:v>
      </x:c>
      <x:c r="P12" s="33" t="str">
        <x:v>N</x:v>
      </x:c>
      <x:c r="Q12" s="33" t="n">
        <x:v>2.6</x:v>
      </x:c>
      <x:c r="R12" s="33" t="n">
        <x:v>2.9</x:v>
      </x:c>
      <x:c r="S12" s="34" t="str">
        <x:v>-</x:v>
      </x:c>
      <x:c r="T12" s="33"/>
      <x:c r="U12" s="33"/>
      <x:c r="V12" s="33"/>
      <x:c r="W12" s="33"/>
      <x:c r="X12" s="33"/>
      <x:c r="Y12" s="33"/>
      <x:c r="Z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2" t="n">
        <x:v>3</x:v>
      </x:c>
      <x:c r="K13" s="33" t="str">
        <x:v>기본</x:v>
      </x:c>
      <x:c r="L13" s="33" t="n">
        <x:v>2</x:v>
      </x:c>
      <x:c r="M13" s="236" t="n">
        <x:v>41.6</x:v>
      </x:c>
      <x:c r="N13" s="236" t="n">
        <x:v>2.8</x:v>
      </x:c>
      <x:c r="O13" s="33" t="str">
        <x:v>gold</x:v>
      </x:c>
      <x:c r="P13" s="33" t="str">
        <x:v>Y</x:v>
      </x:c>
      <x:c r="Q13" s="33" t="n">
        <x:v>4</x:v>
      </x:c>
      <x:c r="R13" s="33" t="n">
        <x:v>2.9</x:v>
      </x:c>
      <x:c r="S13" s="34" t="str">
        <x:v>-</x:v>
      </x:c>
      <x:c r="T13" s="33"/>
      <x:c r="U13" s="33"/>
      <x:c r="V13" s="33"/>
      <x:c r="W13" s="33"/>
      <x:c r="X13" s="33"/>
      <x:c r="Y13" s="33"/>
      <x:c r="Z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2" t="n">
        <x:v>3</x:v>
      </x:c>
      <x:c r="K14" s="33" t="str">
        <x:v>럼</x:v>
      </x:c>
      <x:c r="L14" s="33" t="n">
        <x:v>1</x:v>
      </x:c>
      <x:c r="M14" s="236" t="n">
        <x:v>41.4</x:v>
      </x:c>
      <x:c r="N14" s="236" t="n">
        <x:v>3.4</x:v>
      </x:c>
      <x:c r="O14" s="33" t="str">
        <x:v>gold</x:v>
      </x:c>
      <x:c r="P14" s="33" t="str">
        <x:v>N</x:v>
      </x:c>
      <x:c r="Q14" s="33" t="n">
        <x:v>2.6</x:v>
      </x:c>
      <x:c r="R14" s="33" t="n">
        <x:v>2.9</x:v>
      </x:c>
      <x:c r="S14" s="34" t="str">
        <x:v>dome good</x:v>
      </x:c>
      <x:c r="T14" s="33"/>
      <x:c r="U14" s="33"/>
      <x:c r="V14" s="33"/>
      <x:c r="W14" s="33"/>
      <x:c r="X14" s="33"/>
      <x:c r="Y14" s="33"/>
      <x:c r="Z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2" t="n">
        <x:v>3</x:v>
      </x:c>
      <x:c r="K15" s="33" t="str">
        <x:v>럼</x:v>
      </x:c>
      <x:c r="L15" s="33" t="n">
        <x:v>2</x:v>
      </x:c>
      <x:c r="M15" s="236" t="n">
        <x:v>42.4</x:v>
      </x:c>
      <x:c r="N15" s="236" t="n">
        <x:v>3.7</x:v>
      </x:c>
      <x:c r="O15" s="33" t="str">
        <x:v>pale</x:v>
      </x:c>
      <x:c r="P15" s="33" t="str">
        <x:v>Y</x:v>
      </x:c>
      <x:c r="Q15" s="33" t="n">
        <x:v>2.9</x:v>
      </x:c>
      <x:c r="R15" s="33" t="n">
        <x:v>2.3</x:v>
      </x:c>
      <x:c r="S15" s="34" t="str">
        <x:v>-</x:v>
      </x:c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2" t="n">
        <x:v>6</x:v>
      </x:c>
      <x:c r="K16" s="33" t="str">
        <x:v>기본</x:v>
      </x:c>
      <x:c r="L16" s="33" t="n">
        <x:v>1</x:v>
      </x:c>
      <x:c r="M16" s="236" t="n">
        <x:v>52</x:v>
      </x:c>
      <x:c r="N16" s="236" t="n">
        <x:v>4.5</x:v>
      </x:c>
      <x:c r="O16" s="33" t="str">
        <x:v>gold</x:v>
      </x:c>
      <x:c r="P16" s="33" t="str">
        <x:v>N</x:v>
      </x:c>
      <x:c r="Q16" s="33" t="n">
        <x:v>4</x:v>
      </x:c>
      <x:c r="R16" s="33" t="n">
        <x:v>3.9</x:v>
      </x:c>
      <x:c r="S16" s="34" t="str">
        <x:v>-</x:v>
      </x:c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2" t="n">
        <x:v>6</x:v>
      </x:c>
      <x:c r="K17" s="33" t="str">
        <x:v>기본</x:v>
      </x:c>
      <x:c r="L17" s="33" t="n">
        <x:v>2</x:v>
      </x:c>
      <x:c r="M17" s="236" t="n">
        <x:v>52.5</x:v>
      </x:c>
      <x:c r="N17" s="236" t="n">
        <x:v>4.6</x:v>
      </x:c>
      <x:c r="O17" s="33" t="str">
        <x:v>pale</x:v>
      </x:c>
      <x:c r="P17" s="33" t="str">
        <x:v>Y</x:v>
      </x:c>
      <x:c r="Q17" s="33" t="n">
        <x:v>4.2</x:v>
      </x:c>
      <x:c r="R17" s="33" t="n">
        <x:v>4.1</x:v>
      </x:c>
      <x:c r="S17" s="34" t="str">
        <x:v>edge↑</x:v>
      </x:c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2" t="n">
        <x:v>6</x:v>
      </x:c>
      <x:c r="K18" s="33" t="str">
        <x:v>럼</x:v>
      </x:c>
      <x:c r="L18" s="33" t="n">
        <x:v>1</x:v>
      </x:c>
      <x:c r="M18" s="236" t="n">
        <x:v>51.9</x:v>
      </x:c>
      <x:c r="N18" s="236" t="n">
        <x:v>4.5</x:v>
      </x:c>
      <x:c r="O18" s="33" t="str">
        <x:v>gold</x:v>
      </x:c>
      <x:c r="P18" s="33" t="str">
        <x:v>Y</x:v>
      </x:c>
      <x:c r="Q18" s="33" t="n">
        <x:v>3.7</x:v>
      </x:c>
      <x:c r="R18" s="33" t="n">
        <x:v>4</x:v>
      </x:c>
      <x:c r="S18" s="34" t="str">
        <x:v>edge↑</x:v>
      </x:c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2" t="n">
        <x:v>6</x:v>
      </x:c>
      <x:c r="K19" s="33" t="str">
        <x:v>럼</x:v>
      </x:c>
      <x:c r="L19" s="33" t="n">
        <x:v>2</x:v>
      </x:c>
      <x:c r="M19" s="236" t="n">
        <x:v>52</x:v>
      </x:c>
      <x:c r="N19" s="236" t="n">
        <x:v>5</x:v>
      </x:c>
      <x:c r="O19" s="33" t="str">
        <x:v>gold</x:v>
      </x:c>
      <x:c r="P19" s="33" t="str">
        <x:v>N</x:v>
      </x:c>
      <x:c r="Q19" s="33" t="n">
        <x:v>3.1</x:v>
      </x:c>
      <x:c r="R19" s="33" t="n">
        <x:v>4</x:v>
      </x:c>
      <x:c r="S19" s="34" t="str">
        <x:v>-</x:v>
      </x:c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2" t="n">
        <x:v>6</x:v>
      </x:c>
      <x:c r="K20" s="33" t="str">
        <x:v>슈가coat</x:v>
      </x:c>
      <x:c r="L20" s="33" t="n">
        <x:v>1</x:v>
      </x:c>
      <x:c r="M20" s="236" t="n">
        <x:v>53.1</x:v>
      </x:c>
      <x:c r="N20" s="236" t="n">
        <x:v>4.9</x:v>
      </x:c>
      <x:c r="O20" s="33" t="str">
        <x:v>pale</x:v>
      </x:c>
      <x:c r="P20" s="33" t="str">
        <x:v>N</x:v>
      </x:c>
      <x:c r="Q20" s="33" t="n">
        <x:v>3.2</x:v>
      </x:c>
      <x:c r="R20" s="33" t="n">
        <x:v>4.1</x:v>
      </x:c>
      <x:c r="S20" s="34" t="str">
        <x:v>dome good</x:v>
      </x:c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2" t="n">
        <x:v>6</x:v>
      </x:c>
      <x:c r="K21" s="33" t="str">
        <x:v>슈가coat</x:v>
      </x:c>
      <x:c r="L21" s="33" t="n">
        <x:v>2</x:v>
      </x:c>
      <x:c r="M21" s="236" t="n">
        <x:v>53.3</x:v>
      </x:c>
      <x:c r="N21" s="236" t="n">
        <x:v>4.9</x:v>
      </x:c>
      <x:c r="O21" s="33" t="str">
        <x:v>gold</x:v>
      </x:c>
      <x:c r="P21" s="33" t="str">
        <x:v>Y</x:v>
      </x:c>
      <x:c r="Q21" s="33" t="n">
        <x:v>3.9</x:v>
      </x:c>
      <x:c r="R21" s="33" t="n">
        <x:v>4</x:v>
      </x:c>
      <x:c r="S21" s="34" t="str">
        <x:v>-</x:v>
      </x:c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2" t="n">
        <x:v>6</x:v>
      </x:c>
      <x:c r="K22" s="33" t="str">
        <x:v>아몬드T</x:v>
      </x:c>
      <x:c r="L22" s="33" t="n">
        <x:v>1</x:v>
      </x:c>
      <x:c r="M22" s="236" t="n">
        <x:v>53.6</x:v>
      </x:c>
      <x:c r="N22" s="236" t="n">
        <x:v>5.6</x:v>
      </x:c>
      <x:c r="O22" s="33" t="str">
        <x:v>dark edge</x:v>
      </x:c>
      <x:c r="P22" s="33" t="str">
        <x:v>Y</x:v>
      </x:c>
      <x:c r="Q22" s="33" t="n">
        <x:v>3.5</x:v>
      </x:c>
      <x:c r="R22" s="33" t="n">
        <x:v>4</x:v>
      </x:c>
      <x:c r="S22" s="34" t="str">
        <x:v>dome good</x:v>
      </x:c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2" t="n">
        <x:v>6</x:v>
      </x:c>
      <x:c r="K23" s="33" t="str">
        <x:v>아몬드T</x:v>
      </x:c>
      <x:c r="L23" s="33" t="n">
        <x:v>2</x:v>
      </x:c>
      <x:c r="M23" s="236" t="n">
        <x:v>54.3</x:v>
      </x:c>
      <x:c r="N23" s="236" t="n">
        <x:v>5.7</x:v>
      </x:c>
      <x:c r="O23" s="33" t="str">
        <x:v>dark edge</x:v>
      </x:c>
      <x:c r="P23" s="33" t="str">
        <x:v>Y</x:v>
      </x:c>
      <x:c r="Q23" s="33" t="n">
        <x:v>4.4</x:v>
      </x:c>
      <x:c r="R23" s="33" t="n">
        <x:v>3.9</x:v>
      </x:c>
      <x:c r="S23" s="34" t="str">
        <x:v>dome good</x:v>
      </x:c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2" t="n">
        <x:v>9</x:v>
      </x:c>
      <x:c r="K24" s="33" t="str">
        <x:v>기본</x:v>
      </x:c>
      <x:c r="L24" s="33" t="n">
        <x:v>1</x:v>
      </x:c>
      <x:c r="M24" s="236" t="n">
        <x:v>61.5</x:v>
      </x:c>
      <x:c r="N24" s="236" t="n">
        <x:v>6</x:v>
      </x:c>
      <x:c r="O24" s="33" t="str">
        <x:v>brown</x:v>
      </x:c>
      <x:c r="P24" s="33" t="str">
        <x:v>N</x:v>
      </x:c>
      <x:c r="Q24" s="33" t="n">
        <x:v>2.6</x:v>
      </x:c>
      <x:c r="R24" s="33" t="n">
        <x:v>5.6</x:v>
      </x:c>
      <x:c r="S24" s="34" t="str">
        <x:v>사진</x:v>
      </x:c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2" t="n">
        <x:v>9</x:v>
      </x:c>
      <x:c r="K25" s="33" t="str">
        <x:v>기본</x:v>
      </x:c>
      <x:c r="L25" s="33" t="n">
        <x:v>2</x:v>
      </x:c>
      <x:c r="M25" s="236" t="n">
        <x:v>62.8</x:v>
      </x:c>
      <x:c r="N25" s="236" t="n">
        <x:v>5.8</x:v>
      </x:c>
      <x:c r="O25" s="33" t="str">
        <x:v>dark edge</x:v>
      </x:c>
      <x:c r="P25" s="33" t="str">
        <x:v>Y</x:v>
      </x:c>
      <x:c r="Q25" s="33" t="n">
        <x:v>3.2</x:v>
      </x:c>
      <x:c r="R25" s="33" t="n">
        <x:v>5.5</x:v>
      </x:c>
      <x:c r="S25" s="34" t="str">
        <x:v>dome good</x:v>
      </x:c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2" t="n">
        <x:v>9</x:v>
      </x:c>
      <x:c r="K26" s="33" t="str">
        <x:v>럼</x:v>
      </x:c>
      <x:c r="L26" s="33" t="n">
        <x:v>1</x:v>
      </x:c>
      <x:c r="M26" s="236" t="n">
        <x:v>63.1</x:v>
      </x:c>
      <x:c r="N26" s="236" t="n">
        <x:v>6.3</x:v>
      </x:c>
      <x:c r="O26" s="33" t="str">
        <x:v>dark edge</x:v>
      </x:c>
      <x:c r="P26" s="33" t="str">
        <x:v>N</x:v>
      </x:c>
      <x:c r="Q26" s="33" t="n">
        <x:v>3.4</x:v>
      </x:c>
      <x:c r="R26" s="33" t="n">
        <x:v>5.7</x:v>
      </x:c>
      <x:c r="S26" s="34" t="str">
        <x:v>dome good</x:v>
      </x:c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2" t="n">
        <x:v>9</x:v>
      </x:c>
      <x:c r="K27" s="33" t="str">
        <x:v>럼</x:v>
      </x:c>
      <x:c r="L27" s="33" t="n">
        <x:v>2</x:v>
      </x:c>
      <x:c r="M27" s="236" t="n">
        <x:v>63.3</x:v>
      </x:c>
      <x:c r="N27" s="236" t="n">
        <x:v>6.3</x:v>
      </x:c>
      <x:c r="O27" s="33" t="str">
        <x:v>gold</x:v>
      </x:c>
      <x:c r="P27" s="33" t="str">
        <x:v>Y</x:v>
      </x:c>
      <x:c r="Q27" s="33" t="n">
        <x:v>3.7</x:v>
      </x:c>
      <x:c r="R27" s="33" t="n">
        <x:v>5.6</x:v>
      </x:c>
      <x:c r="S27" s="34" t="str">
        <x:v>dome good</x:v>
      </x:c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2" t="n">
        <x:v>12</x:v>
      </x:c>
      <x:c r="K28" s="33" t="str">
        <x:v>기본</x:v>
      </x:c>
      <x:c r="L28" s="33" t="n">
        <x:v>1</x:v>
      </x:c>
      <x:c r="M28" s="236" t="n">
        <x:v>73.3</x:v>
      </x:c>
      <x:c r="N28" s="236" t="n">
        <x:v>6.8</x:v>
      </x:c>
      <x:c r="O28" s="33" t="str">
        <x:v>dark edge</x:v>
      </x:c>
      <x:c r="P28" s="33" t="str">
        <x:v>N</x:v>
      </x:c>
      <x:c r="Q28" s="33" t="n">
        <x:v>3.5</x:v>
      </x:c>
      <x:c r="R28" s="33" t="n">
        <x:v>7.4</x:v>
      </x:c>
      <x:c r="S28" s="34" t="str">
        <x:v>edge↑</x:v>
      </x:c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2" t="n">
        <x:v>12</x:v>
      </x:c>
      <x:c r="K29" s="33" t="str">
        <x:v>기본</x:v>
      </x:c>
      <x:c r="L29" s="33" t="n">
        <x:v>2</x:v>
      </x:c>
      <x:c r="M29" s="236" t="n">
        <x:v>73.7</x:v>
      </x:c>
      <x:c r="N29" s="236" t="n">
        <x:v>7.3</x:v>
      </x:c>
      <x:c r="O29" s="33" t="str">
        <x:v>pale</x:v>
      </x:c>
      <x:c r="P29" s="33" t="str">
        <x:v>Y</x:v>
      </x:c>
      <x:c r="Q29" s="33" t="n">
        <x:v>4.4</x:v>
      </x:c>
      <x:c r="R29" s="33" t="n">
        <x:v>7.3</x:v>
      </x:c>
      <x:c r="S29" s="34" t="str">
        <x:v>edge↑</x:v>
      </x:c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2" t="n">
        <x:v>12</x:v>
      </x:c>
      <x:c r="K30" s="33" t="str">
        <x:v>럼</x:v>
      </x:c>
      <x:c r="L30" s="33" t="n">
        <x:v>1</x:v>
      </x:c>
      <x:c r="M30" s="236" t="n">
        <x:v>73.5</x:v>
      </x:c>
      <x:c r="N30" s="236" t="n">
        <x:v>7.6</x:v>
      </x:c>
      <x:c r="O30" s="33" t="str">
        <x:v>dark edge</x:v>
      </x:c>
      <x:c r="P30" s="33" t="str">
        <x:v>Y</x:v>
      </x:c>
      <x:c r="Q30" s="33" t="n">
        <x:v>2.6</x:v>
      </x:c>
      <x:c r="R30" s="33" t="n">
        <x:v>7.4</x:v>
      </x:c>
      <x:c r="S30" s="34" t="str">
        <x:v>dome good</x:v>
      </x:c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2" t="n">
        <x:v>12</x:v>
      </x:c>
      <x:c r="K31" s="33" t="str">
        <x:v>럼</x:v>
      </x:c>
      <x:c r="L31" s="33" t="n">
        <x:v>2</x:v>
      </x:c>
      <x:c r="M31" s="236" t="n">
        <x:v>73.1</x:v>
      </x:c>
      <x:c r="N31" s="236" t="n">
        <x:v>7.2</x:v>
      </x:c>
      <x:c r="O31" s="33" t="str">
        <x:v>dark edge</x:v>
      </x:c>
      <x:c r="P31" s="33" t="str">
        <x:v>N</x:v>
      </x:c>
      <x:c r="Q31" s="33" t="n">
        <x:v>4.5</x:v>
      </x:c>
      <x:c r="R31" s="33" t="n">
        <x:v>7.2</x:v>
      </x:c>
      <x:c r="S31" s="34" t="str">
        <x:v>dome good</x:v>
      </x:c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2" t="n">
        <x:v>12</x:v>
      </x:c>
      <x:c r="K32" s="33" t="str">
        <x:v>슈가coat</x:v>
      </x:c>
      <x:c r="L32" s="33" t="n">
        <x:v>1</x:v>
      </x:c>
      <x:c r="M32" s="236" t="n">
        <x:v>73.6</x:v>
      </x:c>
      <x:c r="N32" s="236" t="n">
        <x:v>8.2</x:v>
      </x:c>
      <x:c r="O32" s="33" t="str">
        <x:v>gold</x:v>
      </x:c>
      <x:c r="P32" s="33" t="str">
        <x:v>N</x:v>
      </x:c>
      <x:c r="Q32" s="33" t="n">
        <x:v>4.8</x:v>
      </x:c>
      <x:c r="R32" s="33" t="n">
        <x:v>7.1</x:v>
      </x:c>
      <x:c r="S32" s="34" t="str">
        <x:v>사진</x:v>
      </x:c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2" t="n">
        <x:v>12</x:v>
      </x:c>
      <x:c r="K33" s="33" t="str">
        <x:v>슈가coat</x:v>
      </x:c>
      <x:c r="L33" s="33" t="n">
        <x:v>2</x:v>
      </x:c>
      <x:c r="M33" s="236" t="n">
        <x:v>74.2</x:v>
      </x:c>
      <x:c r="N33" s="236" t="n">
        <x:v>7.8</x:v>
      </x:c>
      <x:c r="O33" s="33" t="str">
        <x:v>pale</x:v>
      </x:c>
      <x:c r="P33" s="33" t="str">
        <x:v>N</x:v>
      </x:c>
      <x:c r="Q33" s="33" t="n">
        <x:v>4.7</x:v>
      </x:c>
      <x:c r="R33" s="33" t="n">
        <x:v>7</x:v>
      </x:c>
      <x:c r="S33" s="34" t="str">
        <x:v>dome good</x:v>
      </x:c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2" t="n">
        <x:v>12</x:v>
      </x:c>
      <x:c r="K34" s="33" t="str">
        <x:v>아몬드T</x:v>
      </x:c>
      <x:c r="L34" s="33" t="n">
        <x:v>1</x:v>
      </x:c>
      <x:c r="M34" s="236" t="n">
        <x:v>74.1</x:v>
      </x:c>
      <x:c r="N34" s="236" t="n">
        <x:v>8.1</x:v>
      </x:c>
      <x:c r="O34" s="33" t="str">
        <x:v>gold</x:v>
      </x:c>
      <x:c r="P34" s="33" t="str">
        <x:v>Y</x:v>
      </x:c>
      <x:c r="Q34" s="33" t="n">
        <x:v>4.6</x:v>
      </x:c>
      <x:c r="R34" s="33" t="n">
        <x:v>7</x:v>
      </x:c>
      <x:c r="S34" s="34" t="str">
        <x:v>edge↑</x:v>
      </x:c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2" t="n">
        <x:v>12</x:v>
      </x:c>
      <x:c r="K35" s="33" t="str">
        <x:v>아몬드T</x:v>
      </x:c>
      <x:c r="L35" s="33" t="n">
        <x:v>2</x:v>
      </x:c>
      <x:c r="M35" s="236" t="n">
        <x:v>75.1</x:v>
      </x:c>
      <x:c r="N35" s="236" t="n">
        <x:v>8.3</x:v>
      </x:c>
      <x:c r="O35" s="33" t="str">
        <x:v>pale</x:v>
      </x:c>
      <x:c r="P35" s="33" t="str">
        <x:v>N</x:v>
      </x:c>
      <x:c r="Q35" s="33" t="n">
        <x:v>4.9</x:v>
      </x:c>
      <x:c r="R35" s="33" t="n">
        <x:v>7</x:v>
      </x:c>
      <x:c r="S35" s="34" t="str">
        <x:v>dome good</x:v>
      </x:c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2" t="n">
        <x:v>15</x:v>
      </x:c>
      <x:c r="K36" s="33" t="str">
        <x:v>기본</x:v>
      </x:c>
      <x:c r="L36" s="33" t="n">
        <x:v>1</x:v>
      </x:c>
      <x:c r="M36" s="236" t="n">
        <x:v>83.9</x:v>
      </x:c>
      <x:c r="N36" s="236" t="n">
        <x:v>8.2</x:v>
      </x:c>
      <x:c r="O36" s="33" t="str">
        <x:v>dark edge</x:v>
      </x:c>
      <x:c r="P36" s="33" t="str">
        <x:v>Y</x:v>
      </x:c>
      <x:c r="Q36" s="33" t="n">
        <x:v>3.2</x:v>
      </x:c>
      <x:c r="R36" s="33" t="n">
        <x:v>9.2</x:v>
      </x:c>
      <x:c r="S36" s="34" t="str">
        <x:v>edge↑</x:v>
      </x:c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2" t="n">
        <x:v>15</x:v>
      </x:c>
      <x:c r="K37" s="33" t="str">
        <x:v>기본</x:v>
      </x:c>
      <x:c r="L37" s="33" t="n">
        <x:v>2</x:v>
      </x:c>
      <x:c r="M37" s="236" t="n">
        <x:v>84</x:v>
      </x:c>
      <x:c r="N37" s="236" t="n">
        <x:v>8.6</x:v>
      </x:c>
      <x:c r="O37" s="33" t="str">
        <x:v>brown</x:v>
      </x:c>
      <x:c r="P37" s="33" t="str">
        <x:v>Y</x:v>
      </x:c>
      <x:c r="Q37" s="33" t="n">
        <x:v>3.7</x:v>
      </x:c>
      <x:c r="R37" s="33" t="n">
        <x:v>9.1</x:v>
      </x:c>
      <x:c r="S37" s="34" t="str">
        <x:v>-</x:v>
      </x:c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2" t="n">
        <x:v>15</x:v>
      </x:c>
      <x:c r="K38" s="33" t="str">
        <x:v>슈가coat</x:v>
      </x:c>
      <x:c r="L38" s="33" t="n">
        <x:v>1</x:v>
      </x:c>
      <x:c r="M38" s="236" t="n">
        <x:v>83.8</x:v>
      </x:c>
      <x:c r="N38" s="236" t="n">
        <x:v>8.8</x:v>
      </x:c>
      <x:c r="O38" s="33" t="str">
        <x:v>brown</x:v>
      </x:c>
      <x:c r="P38" s="33" t="str">
        <x:v>N</x:v>
      </x:c>
      <x:c r="Q38" s="33" t="n">
        <x:v>3.6</x:v>
      </x:c>
      <x:c r="R38" s="33" t="n">
        <x:v>8.6</x:v>
      </x:c>
      <x:c r="S38" s="34" t="str">
        <x:v>-</x:v>
      </x:c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2" t="n">
        <x:v>15</x:v>
      </x:c>
      <x:c r="K39" s="33" t="str">
        <x:v>슈가coat</x:v>
      </x:c>
      <x:c r="L39" s="33" t="n">
        <x:v>2</x:v>
      </x:c>
      <x:c r="M39" s="236" t="n">
        <x:v>85</x:v>
      </x:c>
      <x:c r="N39" s="236" t="n">
        <x:v>8.8</x:v>
      </x:c>
      <x:c r="O39" s="33" t="str">
        <x:v>dark edge</x:v>
      </x:c>
      <x:c r="P39" s="33" t="str">
        <x:v>Y</x:v>
      </x:c>
      <x:c r="Q39" s="33" t="n">
        <x:v>2.8</x:v>
      </x:c>
      <x:c r="R39" s="33" t="n">
        <x:v>8.6</x:v>
      </x:c>
      <x:c r="S39" s="34" t="str">
        <x:v>사진</x:v>
      </x:c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2" t="n">
        <x:v>18</x:v>
      </x:c>
      <x:c r="K40" s="33" t="str">
        <x:v>기본</x:v>
      </x:c>
      <x:c r="L40" s="33" t="n">
        <x:v>1</x:v>
      </x:c>
      <x:c r="M40" s="236" t="n">
        <x:v>94.4</x:v>
      </x:c>
      <x:c r="N40" s="236" t="n">
        <x:v>9.5</x:v>
      </x:c>
      <x:c r="O40" s="33" t="str">
        <x:v>brown</x:v>
      </x:c>
      <x:c r="P40" s="33" t="str">
        <x:v>N</x:v>
      </x:c>
      <x:c r="Q40" s="33" t="n">
        <x:v>3</x:v>
      </x:c>
      <x:c r="R40" s="33" t="n">
        <x:v>10.6</x:v>
      </x:c>
      <x:c r="S40" s="34" t="str">
        <x:v>dome good</x:v>
      </x:c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2" t="n">
        <x:v>18</x:v>
      </x:c>
      <x:c r="K41" s="33" t="str">
        <x:v>기본</x:v>
      </x:c>
      <x:c r="L41" s="33" t="n">
        <x:v>2</x:v>
      </x:c>
      <x:c r="M41" s="236" t="n">
        <x:v>94</x:v>
      </x:c>
      <x:c r="N41" s="236" t="n">
        <x:v>9.6</x:v>
      </x:c>
      <x:c r="O41" s="33" t="str">
        <x:v>brown</x:v>
      </x:c>
      <x:c r="P41" s="33" t="str">
        <x:v>N</x:v>
      </x:c>
      <x:c r="Q41" s="33" t="n">
        <x:v>3.5</x:v>
      </x:c>
      <x:c r="R41" s="33" t="n">
        <x:v>10.7</x:v>
      </x:c>
      <x:c r="S41" s="34" t="str">
        <x:v>사진</x:v>
      </x:c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2" t="n">
        <x:v>18</x:v>
      </x:c>
      <x:c r="K42" s="33" t="str">
        <x:v>럼</x:v>
      </x:c>
      <x:c r="L42" s="33" t="n">
        <x:v>1</x:v>
      </x:c>
      <x:c r="M42" s="236" t="n">
        <x:v>95.2</x:v>
      </x:c>
      <x:c r="N42" s="236" t="n">
        <x:v>10.1</x:v>
      </x:c>
      <x:c r="O42" s="33" t="str">
        <x:v>pale</x:v>
      </x:c>
      <x:c r="P42" s="33" t="str">
        <x:v>N</x:v>
      </x:c>
      <x:c r="Q42" s="33" t="n">
        <x:v>4.4</x:v>
      </x:c>
      <x:c r="R42" s="33" t="n">
        <x:v>10.2</x:v>
      </x:c>
      <x:c r="S42" s="34" t="str">
        <x:v>-</x:v>
      </x:c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2" t="n">
        <x:v>18</x:v>
      </x:c>
      <x:c r="K43" s="33" t="str">
        <x:v>럼</x:v>
      </x:c>
      <x:c r="L43" s="33" t="n">
        <x:v>2</x:v>
      </x:c>
      <x:c r="M43" s="236" t="n">
        <x:v>95.4</x:v>
      </x:c>
      <x:c r="N43" s="236" t="n">
        <x:v>10.6</x:v>
      </x:c>
      <x:c r="O43" s="33" t="str">
        <x:v>pale</x:v>
      </x:c>
      <x:c r="P43" s="33" t="str">
        <x:v>Y</x:v>
      </x:c>
      <x:c r="Q43" s="33" t="n">
        <x:v>4.4</x:v>
      </x:c>
      <x:c r="R43" s="33" t="n">
        <x:v>10.5</x:v>
      </x:c>
      <x:c r="S43" s="34" t="str">
        <x:v>dome good</x:v>
      </x:c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2" t="n">
        <x:v>18</x:v>
      </x:c>
      <x:c r="K44" s="33" t="str">
        <x:v>슈가coat</x:v>
      </x:c>
      <x:c r="L44" s="33" t="n">
        <x:v>1</x:v>
      </x:c>
      <x:c r="M44" s="236" t="n">
        <x:v>95.9</x:v>
      </x:c>
      <x:c r="N44" s="236" t="n">
        <x:v>10.9</x:v>
      </x:c>
      <x:c r="O44" s="33" t="str">
        <x:v>dark edge</x:v>
      </x:c>
      <x:c r="P44" s="33" t="str">
        <x:v>N</x:v>
      </x:c>
      <x:c r="Q44" s="33" t="n">
        <x:v>3.1</x:v>
      </x:c>
      <x:c r="R44" s="33" t="n">
        <x:v>10.6</x:v>
      </x:c>
      <x:c r="S44" s="34" t="str">
        <x:v>dome good</x:v>
      </x:c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2" t="n">
        <x:v>18</x:v>
      </x:c>
      <x:c r="K45" s="33" t="str">
        <x:v>슈가coat</x:v>
      </x:c>
      <x:c r="L45" s="33" t="n">
        <x:v>2</x:v>
      </x:c>
      <x:c r="M45" s="236" t="n">
        <x:v>96</x:v>
      </x:c>
      <x:c r="N45" s="236" t="n">
        <x:v>10.9</x:v>
      </x:c>
      <x:c r="O45" s="33" t="str">
        <x:v>brown</x:v>
      </x:c>
      <x:c r="P45" s="33" t="str">
        <x:v>Y</x:v>
      </x:c>
      <x:c r="Q45" s="33" t="n">
        <x:v>3.6</x:v>
      </x:c>
      <x:c r="R45" s="33" t="n">
        <x:v>10.6</x:v>
      </x:c>
      <x:c r="S45" s="34" t="str">
        <x:v>사진</x:v>
      </x:c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2" t="n">
        <x:v>18</x:v>
      </x:c>
      <x:c r="K46" s="33" t="str">
        <x:v>아몬드T</x:v>
      </x:c>
      <x:c r="L46" s="33" t="n">
        <x:v>1</x:v>
      </x:c>
      <x:c r="M46" s="236" t="n">
        <x:v>95.7</x:v>
      </x:c>
      <x:c r="N46" s="236" t="n">
        <x:v>10.9</x:v>
      </x:c>
      <x:c r="O46" s="33" t="str">
        <x:v>dark edge</x:v>
      </x:c>
      <x:c r="P46" s="33" t="str">
        <x:v>N</x:v>
      </x:c>
      <x:c r="Q46" s="33" t="n">
        <x:v>4.8</x:v>
      </x:c>
      <x:c r="R46" s="33" t="n">
        <x:v>10.6</x:v>
      </x:c>
      <x:c r="S46" s="34" t="str">
        <x:v>edge↑</x:v>
      </x:c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2" t="n">
        <x:v>18</x:v>
      </x:c>
      <x:c r="K47" s="33" t="str">
        <x:v>아몬드T</x:v>
      </x:c>
      <x:c r="L47" s="33" t="n">
        <x:v>2</x:v>
      </x:c>
      <x:c r="M47" s="236" t="n">
        <x:v>96.5</x:v>
      </x:c>
      <x:c r="N47" s="236" t="n">
        <x:v>11</x:v>
      </x:c>
      <x:c r="O47" s="33" t="str">
        <x:v>dark edge</x:v>
      </x:c>
      <x:c r="P47" s="33" t="str">
        <x:v>N</x:v>
      </x:c>
      <x:c r="Q47" s="33" t="n">
        <x:v>4.9</x:v>
      </x:c>
      <x:c r="R47" s="33" t="n">
        <x:v>10.7</x:v>
      </x:c>
      <x:c r="S47" s="34" t="str">
        <x:v>-</x:v>
      </x:c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2" t="n">
        <x:v>21</x:v>
      </x:c>
      <x:c r="K48" s="33" t="str">
        <x:v>기본</x:v>
      </x:c>
      <x:c r="L48" s="33" t="n">
        <x:v>1</x:v>
      </x:c>
      <x:c r="M48" s="236" t="n">
        <x:v>99.4</x:v>
      </x:c>
      <x:c r="N48" s="236" t="n">
        <x:v>11</x:v>
      </x:c>
      <x:c r="O48" s="33" t="str">
        <x:v>brown</x:v>
      </x:c>
      <x:c r="P48" s="33" t="str">
        <x:v>N</x:v>
      </x:c>
      <x:c r="Q48" s="33" t="n">
        <x:v>3</x:v>
      </x:c>
      <x:c r="R48" s="33" t="n">
        <x:v>11.7</x:v>
      </x:c>
      <x:c r="S48" s="34" t="str">
        <x:v>edge↑</x:v>
      </x:c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2" t="n">
        <x:v>21</x:v>
      </x:c>
      <x:c r="K49" s="33" t="str">
        <x:v>기본</x:v>
      </x:c>
      <x:c r="L49" s="33" t="n">
        <x:v>2</x:v>
      </x:c>
      <x:c r="M49" s="236" t="n">
        <x:v>99.4</x:v>
      </x:c>
      <x:c r="N49" s="236" t="n">
        <x:v>11.2</x:v>
      </x:c>
      <x:c r="O49" s="33" t="str">
        <x:v>gold</x:v>
      </x:c>
      <x:c r="P49" s="33" t="str">
        <x:v>N</x:v>
      </x:c>
      <x:c r="Q49" s="33" t="n">
        <x:v>4.5</x:v>
      </x:c>
      <x:c r="R49" s="33" t="n">
        <x:v>11.8</x:v>
      </x:c>
      <x:c r="S49" s="34" t="str">
        <x:v>사진</x:v>
      </x:c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2" t="n">
        <x:v>21</x:v>
      </x:c>
      <x:c r="K50" s="33" t="str">
        <x:v>럼</x:v>
      </x:c>
      <x:c r="L50" s="33" t="n">
        <x:v>1</x:v>
      </x:c>
      <x:c r="M50" s="236" t="n">
        <x:v>99.4</x:v>
      </x:c>
      <x:c r="N50" s="236" t="n">
        <x:v>11.5</x:v>
      </x:c>
      <x:c r="O50" s="33" t="str">
        <x:v>dark edge</x:v>
      </x:c>
      <x:c r="P50" s="33" t="str">
        <x:v>N</x:v>
      </x:c>
      <x:c r="Q50" s="33" t="n">
        <x:v>3.8</x:v>
      </x:c>
      <x:c r="R50" s="33" t="n">
        <x:v>12.1</x:v>
      </x:c>
      <x:c r="S50" s="34" t="str">
        <x:v>edge↑</x:v>
      </x:c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5" t="n">
        <x:v>21</x:v>
      </x:c>
      <x:c r="K51" s="36" t="str">
        <x:v>럼</x:v>
      </x:c>
      <x:c r="L51" s="36" t="n">
        <x:v>2</x:v>
      </x:c>
      <x:c r="M51" s="237" t="n">
        <x:v>99.4</x:v>
      </x:c>
      <x:c r="N51" s="237" t="n">
        <x:v>12</x:v>
      </x:c>
      <x:c r="O51" s="36" t="str">
        <x:v>gold</x:v>
      </x:c>
      <x:c r="P51" s="36" t="str">
        <x:v>Y</x:v>
      </x:c>
      <x:c r="Q51" s="36" t="n">
        <x:v>3.8</x:v>
      </x:c>
      <x:c r="R51" s="36" t="n">
        <x:v>12</x:v>
      </x:c>
      <x:c r="S51" s="37" t="str">
        <x:v>사진</x:v>
      </x:c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</x:sheetData>
  <x:mergeCells>
    <x:mergeCell ref="D3:P4"/>
    <x:mergeCell ref="K8:K9"/>
    <x:mergeCell ref="J8:J9"/>
    <x:mergeCell ref="K10:K11"/>
    <x:mergeCell ref="J10:J11"/>
    <x:mergeCell ref="K12:K13"/>
    <x:mergeCell ref="J12:J13"/>
    <x:mergeCell ref="K14:K15"/>
    <x:mergeCell ref="J14:J15"/>
    <x:mergeCell ref="K16:K17"/>
    <x:mergeCell ref="J16:J17"/>
    <x:mergeCell ref="K18:K19"/>
    <x:mergeCell ref="J18:J19"/>
    <x:mergeCell ref="K20:K21"/>
    <x:mergeCell ref="J20:J21"/>
    <x:mergeCell ref="K22:K23"/>
    <x:mergeCell ref="J22:J23"/>
    <x:mergeCell ref="K24:K25"/>
    <x:mergeCell ref="J24:J25"/>
    <x:mergeCell ref="K26:K27"/>
    <x:mergeCell ref="J26:J27"/>
    <x:mergeCell ref="K28:K29"/>
    <x:mergeCell ref="J28:J29"/>
    <x:mergeCell ref="K30:K31"/>
    <x:mergeCell ref="J30:J31"/>
    <x:mergeCell ref="K32:K33"/>
    <x:mergeCell ref="J32:J33"/>
    <x:mergeCell ref="K34:K35"/>
    <x:mergeCell ref="J34:J35"/>
    <x:mergeCell ref="K36:K37"/>
    <x:mergeCell ref="J36:J37"/>
    <x:mergeCell ref="K38:K39"/>
    <x:mergeCell ref="J38:J39"/>
    <x:mergeCell ref="K40:K41"/>
    <x:mergeCell ref="J40:J41"/>
    <x:mergeCell ref="K42:K43"/>
    <x:mergeCell ref="J42:J43"/>
    <x:mergeCell ref="K44:K45"/>
    <x:mergeCell ref="J44:J45"/>
    <x:mergeCell ref="K46:K47"/>
    <x:mergeCell ref="J46:J47"/>
    <x:mergeCell ref="K48:K49"/>
    <x:mergeCell ref="J48:J49"/>
    <x:mergeCell ref="K50:K51"/>
    <x:mergeCell ref="J50:J5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1">
      <x:c r="A1" s="33"/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33"/>
      <x:c r="B3" s="33"/>
      <x:c r="C3" s="33"/>
      <x:c r="D3" s="170" t="str">
        <x:v>오리지날  OVEN=210℃ / 실험기록</x:v>
      </x:c>
      <x:c r="E3" s="171"/>
      <x:c r="F3" s="171"/>
      <x:c r="G3" s="171"/>
      <x:c r="H3" s="171"/>
      <x:c r="I3" s="171"/>
      <x:c r="J3" s="171"/>
      <x:c r="K3" s="171"/>
      <x:c r="L3" s="171"/>
      <x:c r="M3" s="171"/>
      <x:c r="N3" s="171"/>
      <x:c r="O3" s="171"/>
      <x:c r="P3" s="172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33"/>
      <x:c r="B4" s="33"/>
      <x:c r="C4" s="33"/>
      <x:c r="D4" s="173"/>
      <x:c r="E4" s="174"/>
      <x:c r="F4" s="174"/>
      <x:c r="G4" s="174"/>
      <x:c r="H4" s="174"/>
      <x:c r="I4" s="174"/>
      <x:c r="J4" s="174"/>
      <x:c r="K4" s="174"/>
      <x:c r="L4" s="174"/>
      <x:c r="M4" s="174"/>
      <x:c r="N4" s="174"/>
      <x:c r="O4" s="174"/>
      <x:c r="P4" s="175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3"/>
      <x:c r="B6" s="33"/>
      <x:c r="C6" s="33"/>
      <x:c r="D6" s="29" t="str">
        <x:v>batch</x:v>
      </x:c>
      <x:c r="E6" s="30" t="str">
        <x:v>오-210-A</x:v>
      </x:c>
      <x:c r="F6" s="30" t="str">
        <x:v>fan</x:v>
      </x:c>
      <x:c r="G6" s="30" t="str">
        <x:v>약풍</x:v>
      </x:c>
      <x:c r="H6" s="31" t="str">
        <x:v>memo</x:v>
      </x:c>
      <x:c r="I6" s="33"/>
      <x:c r="J6" s="58" t="str">
        <x:v>Time</x:v>
      </x:c>
      <x:c r="K6" s="59" t="str">
        <x:v>Add-in</x:v>
      </x:c>
      <x:c r="L6" s="59" t="str">
        <x:v>rep</x:v>
      </x:c>
      <x:c r="M6" s="59" t="str">
        <x:v>core T</x:v>
      </x:c>
      <x:c r="N6" s="59" t="str">
        <x:v>rise</x:v>
      </x:c>
      <x:c r="O6" s="59" t="str">
        <x:v>surface</x:v>
      </x:c>
      <x:c r="P6" s="59" t="str">
        <x:v>crack</x:v>
      </x:c>
      <x:c r="Q6" s="59" t="str">
        <x:v>moist</x:v>
      </x:c>
      <x:c r="R6" s="59" t="str">
        <x:v>loss</x:v>
      </x:c>
      <x:c r="S6" s="60" t="str">
        <x:v>memo</x:v>
      </x:c>
      <x:c r="T6" s="33"/>
      <x:c r="U6" s="33"/>
      <x:c r="V6" s="33"/>
      <x:c r="W6" s="33"/>
      <x:c r="X6" s="33"/>
      <x:c r="Y6" s="33"/>
      <x:c r="Z6" s="33"/>
    </x:row>
    <x:row r="7">
      <x:c r="A7" s="33"/>
      <x:c r="B7" s="33"/>
      <x:c r="C7" s="33"/>
      <x:c r="D7" s="32" t="str">
        <x:v>실내</x:v>
      </x:c>
      <x:c r="E7" s="33" t="str">
        <x:v>24℃</x:v>
      </x:c>
      <x:c r="F7" s="33" t="str">
        <x:v>반죽숙성</x:v>
      </x:c>
      <x:c r="G7" s="33" t="str">
        <x:v>8h</x:v>
      </x:c>
      <x:c r="H7" s="34" t="str">
        <x:v>수기</x:v>
      </x:c>
      <x:c r="I7" s="33"/>
      <x:c r="J7" s="212" t="str">
        <x:v>min</x:v>
      </x:c>
      <x:c r="K7" s="213" t="str">
        <x:v>조건</x:v>
      </x:c>
      <x:c r="L7" s="213" t="str">
        <x:v>#</x:v>
      </x:c>
      <x:c r="M7" s="213" t="str">
        <x:v>℃</x:v>
      </x:c>
      <x:c r="N7" s="213" t="str">
        <x:v>mm</x:v>
      </x:c>
      <x:c r="O7" s="213" t="str">
        <x:v>visual</x:v>
      </x:c>
      <x:c r="P7" s="213" t="str">
        <x:v>Y/N</x:v>
      </x:c>
      <x:c r="Q7" s="213" t="str">
        <x:v>1~5</x:v>
      </x:c>
      <x:c r="R7" s="213" t="str">
        <x:v>%</x:v>
      </x:c>
      <x:c r="S7" s="214" t="str"/>
      <x:c r="T7" s="33"/>
      <x:c r="U7" s="33"/>
      <x:c r="V7" s="33"/>
      <x:c r="W7" s="33"/>
      <x:c r="X7" s="33"/>
      <x:c r="Y7" s="33"/>
      <x:c r="Z7" s="33"/>
    </x:row>
    <x:row r="8">
      <x:c r="A8" s="33"/>
      <x:c r="B8" s="33"/>
      <x:c r="C8" s="33"/>
      <x:c r="D8" s="32" t="str">
        <x:v>몰드</x:v>
      </x:c>
      <x:c r="E8" s="33" t="str">
        <x:v>12구</x:v>
      </x:c>
      <x:c r="F8" s="33" t="str">
        <x:v>probe</x:v>
      </x:c>
      <x:c r="G8" s="33" t="str">
        <x:v>center</x:v>
      </x:c>
      <x:c r="H8" s="34" t="str">
        <x:v>K-type</x:v>
      </x:c>
      <x:c r="I8" s="33"/>
      <x:c r="J8" s="29" t="n">
        <x:v>0</x:v>
      </x:c>
      <x:c r="K8" s="30" t="str">
        <x:v>기본</x:v>
      </x:c>
      <x:c r="L8" s="30" t="n">
        <x:v>1</x:v>
      </x:c>
      <x:c r="M8" s="235" t="n">
        <x:v>30.8</x:v>
      </x:c>
      <x:c r="N8" s="235" t="n">
        <x:v>1.1</x:v>
      </x:c>
      <x:c r="O8" s="30" t="str">
        <x:v>gold</x:v>
      </x:c>
      <x:c r="P8" s="30" t="str">
        <x:v>Y</x:v>
      </x:c>
      <x:c r="Q8" s="30" t="n">
        <x:v>3.4</x:v>
      </x:c>
      <x:c r="R8" s="30" t="n">
        <x:v>1.2</x:v>
      </x:c>
      <x:c r="S8" s="31" t="str">
        <x:v>edge↑</x:v>
      </x:c>
      <x:c r="T8" s="33"/>
      <x:c r="U8" s="33"/>
      <x:c r="V8" s="33"/>
      <x:c r="W8" s="33"/>
      <x:c r="X8" s="33"/>
      <x:c r="Y8" s="33"/>
      <x:c r="Z8" s="33"/>
    </x:row>
    <x:row r="9">
      <x:c r="A9" s="33"/>
      <x:c r="B9" s="33"/>
      <x:c r="C9" s="33"/>
      <x:c r="D9" s="32" t="str">
        <x:v>note</x:v>
      </x:c>
      <x:c r="E9" s="33" t="str">
        <x:v>같은 시간 여러 부재료는 merge</x:v>
      </x:c>
      <x:c r="F9" s="33" t="str"/>
      <x:c r="G9" s="33" t="str"/>
      <x:c r="H9" s="34" t="str"/>
      <x:c r="I9" s="33"/>
      <x:c r="J9" s="32" t="n">
        <x:v>0</x:v>
      </x:c>
      <x:c r="K9" s="33" t="str">
        <x:v>기본</x:v>
      </x:c>
      <x:c r="L9" s="33" t="n">
        <x:v>2</x:v>
      </x:c>
      <x:c r="M9" s="236" t="n">
        <x:v>31.6</x:v>
      </x:c>
      <x:c r="N9" s="236" t="n">
        <x:v>1.5</x:v>
      </x:c>
      <x:c r="O9" s="33" t="str">
        <x:v>dark edge</x:v>
      </x:c>
      <x:c r="P9" s="33" t="str">
        <x:v>N</x:v>
      </x:c>
      <x:c r="Q9" s="33" t="n">
        <x:v>2.5</x:v>
      </x:c>
      <x:c r="R9" s="33" t="n">
        <x:v>1</x:v>
      </x:c>
      <x:c r="S9" s="34" t="str">
        <x:v>edge↑</x:v>
      </x:c>
      <x:c r="T9" s="33"/>
      <x:c r="U9" s="33"/>
      <x:c r="V9" s="33"/>
      <x:c r="W9" s="33"/>
      <x:c r="X9" s="33"/>
      <x:c r="Y9" s="33"/>
      <x:c r="Z9" s="33"/>
    </x:row>
    <x:row r="10">
      <x:c r="A10" s="33"/>
      <x:c r="B10" s="33"/>
      <x:c r="C10" s="33"/>
      <x:c r="D10" s="35" t="str">
        <x:v>operator</x:v>
      </x:c>
      <x:c r="E10" s="36" t="str">
        <x:v>KIM</x:v>
      </x:c>
      <x:c r="F10" s="36" t="str">
        <x:v>n</x:v>
      </x:c>
      <x:c r="G10" s="36" t="str">
        <x:v>2</x:v>
      </x:c>
      <x:c r="H10" s="37" t="str"/>
      <x:c r="I10" s="33"/>
      <x:c r="J10" s="32" t="n">
        <x:v>0</x:v>
      </x:c>
      <x:c r="K10" s="33" t="str">
        <x:v>슈가coat</x:v>
      </x:c>
      <x:c r="L10" s="33" t="n">
        <x:v>1</x:v>
      </x:c>
      <x:c r="M10" s="236" t="n">
        <x:v>32.5</x:v>
      </x:c>
      <x:c r="N10" s="236" t="n">
        <x:v>2</x:v>
      </x:c>
      <x:c r="O10" s="33" t="str">
        <x:v>dark edge</x:v>
      </x:c>
      <x:c r="P10" s="33" t="str">
        <x:v>N</x:v>
      </x:c>
      <x:c r="Q10" s="33" t="n">
        <x:v>3.2</x:v>
      </x:c>
      <x:c r="R10" s="33" t="n">
        <x:v>1</x:v>
      </x:c>
      <x:c r="S10" s="34" t="str">
        <x:v>-</x:v>
      </x:c>
      <x:c r="T10" s="33"/>
      <x:c r="U10" s="33"/>
      <x:c r="V10" s="33"/>
      <x:c r="W10" s="33"/>
      <x:c r="X10" s="33"/>
      <x:c r="Y10" s="33"/>
      <x:c r="Z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2" t="n">
        <x:v>0</x:v>
      </x:c>
      <x:c r="K11" s="33" t="str">
        <x:v>슈가coat</x:v>
      </x:c>
      <x:c r="L11" s="33" t="n">
        <x:v>2</x:v>
      </x:c>
      <x:c r="M11" s="236" t="n">
        <x:v>31.6</x:v>
      </x:c>
      <x:c r="N11" s="236" t="n">
        <x:v>1.7</x:v>
      </x:c>
      <x:c r="O11" s="33" t="str">
        <x:v>dark edge</x:v>
      </x:c>
      <x:c r="P11" s="33" t="str">
        <x:v>Y</x:v>
      </x:c>
      <x:c r="Q11" s="33" t="n">
        <x:v>4.9</x:v>
      </x:c>
      <x:c r="R11" s="33" t="n">
        <x:v>1</x:v>
      </x:c>
      <x:c r="S11" s="34" t="str">
        <x:v>사진</x:v>
      </x:c>
      <x:c r="T11" s="33"/>
      <x:c r="U11" s="33"/>
      <x:c r="V11" s="33"/>
      <x:c r="W11" s="33"/>
      <x:c r="X11" s="33"/>
      <x:c r="Y11" s="33"/>
      <x:c r="Z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2" t="n">
        <x:v>3</x:v>
      </x:c>
      <x:c r="K12" s="33" t="str">
        <x:v>기본</x:v>
      </x:c>
      <x:c r="L12" s="33" t="n">
        <x:v>1</x:v>
      </x:c>
      <x:c r="M12" s="236" t="n">
        <x:v>42.4</x:v>
      </x:c>
      <x:c r="N12" s="236" t="n">
        <x:v>3</x:v>
      </x:c>
      <x:c r="O12" s="33" t="str">
        <x:v>pale</x:v>
      </x:c>
      <x:c r="P12" s="33" t="str">
        <x:v>N</x:v>
      </x:c>
      <x:c r="Q12" s="33" t="n">
        <x:v>3.4</x:v>
      </x:c>
      <x:c r="R12" s="33" t="n">
        <x:v>3</x:v>
      </x:c>
      <x:c r="S12" s="34" t="str">
        <x:v>edge↑</x:v>
      </x:c>
      <x:c r="T12" s="33"/>
      <x:c r="U12" s="33"/>
      <x:c r="V12" s="33"/>
      <x:c r="W12" s="33"/>
      <x:c r="X12" s="33"/>
      <x:c r="Y12" s="33"/>
      <x:c r="Z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2" t="n">
        <x:v>3</x:v>
      </x:c>
      <x:c r="K13" s="33" t="str">
        <x:v>기본</x:v>
      </x:c>
      <x:c r="L13" s="33" t="n">
        <x:v>2</x:v>
      </x:c>
      <x:c r="M13" s="236" t="n">
        <x:v>42.6</x:v>
      </x:c>
      <x:c r="N13" s="236" t="n">
        <x:v>3.1</x:v>
      </x:c>
      <x:c r="O13" s="33" t="str">
        <x:v>pale</x:v>
      </x:c>
      <x:c r="P13" s="33" t="str">
        <x:v>Y</x:v>
      </x:c>
      <x:c r="Q13" s="33" t="n">
        <x:v>3.2</x:v>
      </x:c>
      <x:c r="R13" s="33" t="n">
        <x:v>2.7</x:v>
      </x:c>
      <x:c r="S13" s="34" t="str">
        <x:v>edge↑</x:v>
      </x:c>
      <x:c r="T13" s="33"/>
      <x:c r="U13" s="33"/>
      <x:c r="V13" s="33"/>
      <x:c r="W13" s="33"/>
      <x:c r="X13" s="33"/>
      <x:c r="Y13" s="33"/>
      <x:c r="Z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2" t="n">
        <x:v>3</x:v>
      </x:c>
      <x:c r="K14" s="33" t="str">
        <x:v>슈가coat</x:v>
      </x:c>
      <x:c r="L14" s="33" t="n">
        <x:v>1</x:v>
      </x:c>
      <x:c r="M14" s="236" t="n">
        <x:v>42.7</x:v>
      </x:c>
      <x:c r="N14" s="236" t="n">
        <x:v>2.8</x:v>
      </x:c>
      <x:c r="O14" s="33" t="str">
        <x:v>dark edge</x:v>
      </x:c>
      <x:c r="P14" s="33" t="str">
        <x:v>N</x:v>
      </x:c>
      <x:c r="Q14" s="33" t="n">
        <x:v>2.9</x:v>
      </x:c>
      <x:c r="R14" s="33" t="n">
        <x:v>2.5</x:v>
      </x:c>
      <x:c r="S14" s="34" t="str">
        <x:v>edge↑</x:v>
      </x:c>
      <x:c r="T14" s="33"/>
      <x:c r="U14" s="33"/>
      <x:c r="V14" s="33"/>
      <x:c r="W14" s="33"/>
      <x:c r="X14" s="33"/>
      <x:c r="Y14" s="33"/>
      <x:c r="Z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2" t="n">
        <x:v>3</x:v>
      </x:c>
      <x:c r="K15" s="33" t="str">
        <x:v>슈가coat</x:v>
      </x:c>
      <x:c r="L15" s="33" t="n">
        <x:v>2</x:v>
      </x:c>
      <x:c r="M15" s="236" t="n">
        <x:v>42.9</x:v>
      </x:c>
      <x:c r="N15" s="236" t="n">
        <x:v>3.5</x:v>
      </x:c>
      <x:c r="O15" s="33" t="str">
        <x:v>gold</x:v>
      </x:c>
      <x:c r="P15" s="33" t="str">
        <x:v>N</x:v>
      </x:c>
      <x:c r="Q15" s="33" t="n">
        <x:v>4</x:v>
      </x:c>
      <x:c r="R15" s="33" t="n">
        <x:v>2.5</x:v>
      </x:c>
      <x:c r="S15" s="34" t="str">
        <x:v>사진</x:v>
      </x:c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2" t="n">
        <x:v>6</x:v>
      </x:c>
      <x:c r="K16" s="33" t="str">
        <x:v>기본</x:v>
      </x:c>
      <x:c r="L16" s="33" t="n">
        <x:v>1</x:v>
      </x:c>
      <x:c r="M16" s="236" t="n">
        <x:v>52</x:v>
      </x:c>
      <x:c r="N16" s="236" t="n">
        <x:v>4.4</x:v>
      </x:c>
      <x:c r="O16" s="33" t="str">
        <x:v>pale</x:v>
      </x:c>
      <x:c r="P16" s="33" t="str">
        <x:v>N</x:v>
      </x:c>
      <x:c r="Q16" s="33" t="n">
        <x:v>4.1</x:v>
      </x:c>
      <x:c r="R16" s="33" t="n">
        <x:v>4.5</x:v>
      </x:c>
      <x:c r="S16" s="34" t="str">
        <x:v>사진</x:v>
      </x:c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2" t="n">
        <x:v>6</x:v>
      </x:c>
      <x:c r="K17" s="33" t="str">
        <x:v>기본</x:v>
      </x:c>
      <x:c r="L17" s="33" t="n">
        <x:v>2</x:v>
      </x:c>
      <x:c r="M17" s="236" t="n">
        <x:v>52.1</x:v>
      </x:c>
      <x:c r="N17" s="236" t="n">
        <x:v>3.9</x:v>
      </x:c>
      <x:c r="O17" s="33" t="str">
        <x:v>gold</x:v>
      </x:c>
      <x:c r="P17" s="33" t="str">
        <x:v>Y</x:v>
      </x:c>
      <x:c r="Q17" s="33" t="n">
        <x:v>2.9</x:v>
      </x:c>
      <x:c r="R17" s="33" t="n">
        <x:v>4.1</x:v>
      </x:c>
      <x:c r="S17" s="34" t="str">
        <x:v>-</x:v>
      </x:c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2" t="n">
        <x:v>6</x:v>
      </x:c>
      <x:c r="K18" s="33" t="str">
        <x:v>럼</x:v>
      </x:c>
      <x:c r="L18" s="33" t="n">
        <x:v>1</x:v>
      </x:c>
      <x:c r="M18" s="236" t="n">
        <x:v>52.6</x:v>
      </x:c>
      <x:c r="N18" s="236" t="n">
        <x:v>4.4</x:v>
      </x:c>
      <x:c r="O18" s="33" t="str">
        <x:v>gold</x:v>
      </x:c>
      <x:c r="P18" s="33" t="str">
        <x:v>N</x:v>
      </x:c>
      <x:c r="Q18" s="33" t="n">
        <x:v>3.3</x:v>
      </x:c>
      <x:c r="R18" s="33" t="n">
        <x:v>4.1</x:v>
      </x:c>
      <x:c r="S18" s="34" t="str">
        <x:v>-</x:v>
      </x:c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2" t="n">
        <x:v>6</x:v>
      </x:c>
      <x:c r="K19" s="33" t="str">
        <x:v>럼</x:v>
      </x:c>
      <x:c r="L19" s="33" t="n">
        <x:v>2</x:v>
      </x:c>
      <x:c r="M19" s="236" t="n">
        <x:v>53.8</x:v>
      </x:c>
      <x:c r="N19" s="236" t="n">
        <x:v>4.7</x:v>
      </x:c>
      <x:c r="O19" s="33" t="str">
        <x:v>pale</x:v>
      </x:c>
      <x:c r="P19" s="33" t="str">
        <x:v>Y</x:v>
      </x:c>
      <x:c r="Q19" s="33" t="n">
        <x:v>2.9</x:v>
      </x:c>
      <x:c r="R19" s="33" t="n">
        <x:v>4.6</x:v>
      </x:c>
      <x:c r="S19" s="34" t="str">
        <x:v>사진</x:v>
      </x:c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2" t="n">
        <x:v>6</x:v>
      </x:c>
      <x:c r="K20" s="33" t="str">
        <x:v>슈가coat</x:v>
      </x:c>
      <x:c r="L20" s="33" t="n">
        <x:v>1</x:v>
      </x:c>
      <x:c r="M20" s="236" t="n">
        <x:v>54</x:v>
      </x:c>
      <x:c r="N20" s="236" t="n">
        <x:v>5</x:v>
      </x:c>
      <x:c r="O20" s="33" t="str">
        <x:v>brown</x:v>
      </x:c>
      <x:c r="P20" s="33" t="str">
        <x:v>N</x:v>
      </x:c>
      <x:c r="Q20" s="33" t="n">
        <x:v>3</x:v>
      </x:c>
      <x:c r="R20" s="33" t="n">
        <x:v>4</x:v>
      </x:c>
      <x:c r="S20" s="34" t="str">
        <x:v>사진</x:v>
      </x:c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2" t="n">
        <x:v>6</x:v>
      </x:c>
      <x:c r="K21" s="33" t="str">
        <x:v>슈가coat</x:v>
      </x:c>
      <x:c r="L21" s="33" t="n">
        <x:v>2</x:v>
      </x:c>
      <x:c r="M21" s="236" t="n">
        <x:v>54.2</x:v>
      </x:c>
      <x:c r="N21" s="236" t="n">
        <x:v>4.9</x:v>
      </x:c>
      <x:c r="O21" s="33" t="str">
        <x:v>gold</x:v>
      </x:c>
      <x:c r="P21" s="33" t="str">
        <x:v>Y</x:v>
      </x:c>
      <x:c r="Q21" s="33" t="n">
        <x:v>3.8</x:v>
      </x:c>
      <x:c r="R21" s="33" t="n">
        <x:v>4.4</x:v>
      </x:c>
      <x:c r="S21" s="34" t="str">
        <x:v>edge↑</x:v>
      </x:c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2" t="n">
        <x:v>6</x:v>
      </x:c>
      <x:c r="K22" s="33" t="str">
        <x:v>아몬드T</x:v>
      </x:c>
      <x:c r="L22" s="33" t="n">
        <x:v>1</x:v>
      </x:c>
      <x:c r="M22" s="236" t="n">
        <x:v>54.5</x:v>
      </x:c>
      <x:c r="N22" s="236" t="n">
        <x:v>5.6</x:v>
      </x:c>
      <x:c r="O22" s="33" t="str">
        <x:v>pale</x:v>
      </x:c>
      <x:c r="P22" s="33" t="str">
        <x:v>Y</x:v>
      </x:c>
      <x:c r="Q22" s="33" t="n">
        <x:v>4.7</x:v>
      </x:c>
      <x:c r="R22" s="33" t="n">
        <x:v>4.4</x:v>
      </x:c>
      <x:c r="S22" s="34" t="str">
        <x:v>사진</x:v>
      </x:c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2" t="n">
        <x:v>6</x:v>
      </x:c>
      <x:c r="K23" s="33" t="str">
        <x:v>아몬드T</x:v>
      </x:c>
      <x:c r="L23" s="33" t="n">
        <x:v>2</x:v>
      </x:c>
      <x:c r="M23" s="236" t="n">
        <x:v>54.4</x:v>
      </x:c>
      <x:c r="N23" s="236" t="n">
        <x:v>5.3</x:v>
      </x:c>
      <x:c r="O23" s="33" t="str">
        <x:v>gold</x:v>
      </x:c>
      <x:c r="P23" s="33" t="str">
        <x:v>N</x:v>
      </x:c>
      <x:c r="Q23" s="33" t="n">
        <x:v>2.8</x:v>
      </x:c>
      <x:c r="R23" s="33" t="n">
        <x:v>4.6</x:v>
      </x:c>
      <x:c r="S23" s="34" t="str">
        <x:v>edge↑</x:v>
      </x:c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2" t="n">
        <x:v>9</x:v>
      </x:c>
      <x:c r="K24" s="33" t="str">
        <x:v>기본</x:v>
      </x:c>
      <x:c r="L24" s="33" t="n">
        <x:v>1</x:v>
      </x:c>
      <x:c r="M24" s="236" t="n">
        <x:v>63.1</x:v>
      </x:c>
      <x:c r="N24" s="236" t="n">
        <x:v>5.8</x:v>
      </x:c>
      <x:c r="O24" s="33" t="str">
        <x:v>dark edge</x:v>
      </x:c>
      <x:c r="P24" s="33" t="str">
        <x:v>N</x:v>
      </x:c>
      <x:c r="Q24" s="33" t="n">
        <x:v>4.3</x:v>
      </x:c>
      <x:c r="R24" s="33" t="n">
        <x:v>6.1</x:v>
      </x:c>
      <x:c r="S24" s="34" t="str">
        <x:v>dome good</x:v>
      </x:c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2" t="n">
        <x:v>9</x:v>
      </x:c>
      <x:c r="K25" s="33" t="str">
        <x:v>기본</x:v>
      </x:c>
      <x:c r="L25" s="33" t="n">
        <x:v>2</x:v>
      </x:c>
      <x:c r="M25" s="236" t="n">
        <x:v>62.9</x:v>
      </x:c>
      <x:c r="N25" s="236" t="n">
        <x:v>5.7</x:v>
      </x:c>
      <x:c r="O25" s="33" t="str">
        <x:v>gold</x:v>
      </x:c>
      <x:c r="P25" s="33" t="str">
        <x:v>N</x:v>
      </x:c>
      <x:c r="Q25" s="33" t="n">
        <x:v>3.9</x:v>
      </x:c>
      <x:c r="R25" s="33" t="n">
        <x:v>5.9</x:v>
      </x:c>
      <x:c r="S25" s="34" t="str">
        <x:v>edge↑</x:v>
      </x:c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2" t="n">
        <x:v>9</x:v>
      </x:c>
      <x:c r="K26" s="33" t="str">
        <x:v>슈가coat</x:v>
      </x:c>
      <x:c r="L26" s="33" t="n">
        <x:v>1</x:v>
      </x:c>
      <x:c r="M26" s="236" t="n">
        <x:v>64.3</x:v>
      </x:c>
      <x:c r="N26" s="236" t="n">
        <x:v>6.2</x:v>
      </x:c>
      <x:c r="O26" s="33" t="str">
        <x:v>pale</x:v>
      </x:c>
      <x:c r="P26" s="33" t="str">
        <x:v>N</x:v>
      </x:c>
      <x:c r="Q26" s="33" t="n">
        <x:v>2.7</x:v>
      </x:c>
      <x:c r="R26" s="33" t="n">
        <x:v>6.2</x:v>
      </x:c>
      <x:c r="S26" s="34" t="str">
        <x:v>dome good</x:v>
      </x:c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2" t="n">
        <x:v>9</x:v>
      </x:c>
      <x:c r="K27" s="33" t="str">
        <x:v>슈가coat</x:v>
      </x:c>
      <x:c r="L27" s="33" t="n">
        <x:v>2</x:v>
      </x:c>
      <x:c r="M27" s="236" t="n">
        <x:v>64.2</x:v>
      </x:c>
      <x:c r="N27" s="236" t="n">
        <x:v>6</x:v>
      </x:c>
      <x:c r="O27" s="33" t="str">
        <x:v>brown</x:v>
      </x:c>
      <x:c r="P27" s="33" t="str">
        <x:v>Y</x:v>
      </x:c>
      <x:c r="Q27" s="33" t="n">
        <x:v>3.9</x:v>
      </x:c>
      <x:c r="R27" s="33" t="n">
        <x:v>6.1</x:v>
      </x:c>
      <x:c r="S27" s="34" t="str">
        <x:v>사진</x:v>
      </x:c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2" t="n">
        <x:v>12</x:v>
      </x:c>
      <x:c r="K28" s="33" t="str">
        <x:v>기본</x:v>
      </x:c>
      <x:c r="L28" s="33" t="n">
        <x:v>1</x:v>
      </x:c>
      <x:c r="M28" s="236" t="n">
        <x:v>74.2</x:v>
      </x:c>
      <x:c r="N28" s="236" t="n">
        <x:v>7.1</x:v>
      </x:c>
      <x:c r="O28" s="33" t="str">
        <x:v>brown</x:v>
      </x:c>
      <x:c r="P28" s="33" t="str">
        <x:v>Y</x:v>
      </x:c>
      <x:c r="Q28" s="33" t="n">
        <x:v>3.5</x:v>
      </x:c>
      <x:c r="R28" s="33" t="n">
        <x:v>7.3</x:v>
      </x:c>
      <x:c r="S28" s="34" t="str">
        <x:v>edge↑</x:v>
      </x:c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2" t="n">
        <x:v>12</x:v>
      </x:c>
      <x:c r="K29" s="33" t="str">
        <x:v>기본</x:v>
      </x:c>
      <x:c r="L29" s="33" t="n">
        <x:v>2</x:v>
      </x:c>
      <x:c r="M29" s="236" t="n">
        <x:v>73.7</x:v>
      </x:c>
      <x:c r="N29" s="236" t="n">
        <x:v>6.6</x:v>
      </x:c>
      <x:c r="O29" s="33" t="str">
        <x:v>brown</x:v>
      </x:c>
      <x:c r="P29" s="33" t="str">
        <x:v>N</x:v>
      </x:c>
      <x:c r="Q29" s="33" t="n">
        <x:v>3.2</x:v>
      </x:c>
      <x:c r="R29" s="33" t="n">
        <x:v>7.5</x:v>
      </x:c>
      <x:c r="S29" s="34" t="str">
        <x:v>dome good</x:v>
      </x:c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2" t="n">
        <x:v>12</x:v>
      </x:c>
      <x:c r="K30" s="33" t="str">
        <x:v>럼</x:v>
      </x:c>
      <x:c r="L30" s="33" t="n">
        <x:v>1</x:v>
      </x:c>
      <x:c r="M30" s="236" t="n">
        <x:v>75.1</x:v>
      </x:c>
      <x:c r="N30" s="236" t="n">
        <x:v>7</x:v>
      </x:c>
      <x:c r="O30" s="33" t="str">
        <x:v>brown</x:v>
      </x:c>
      <x:c r="P30" s="33" t="str">
        <x:v>N</x:v>
      </x:c>
      <x:c r="Q30" s="33" t="n">
        <x:v>3.7</x:v>
      </x:c>
      <x:c r="R30" s="33" t="n">
        <x:v>7.5</x:v>
      </x:c>
      <x:c r="S30" s="34" t="str">
        <x:v>edge↑</x:v>
      </x:c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2" t="n">
        <x:v>12</x:v>
      </x:c>
      <x:c r="K31" s="33" t="str">
        <x:v>럼</x:v>
      </x:c>
      <x:c r="L31" s="33" t="n">
        <x:v>2</x:v>
      </x:c>
      <x:c r="M31" s="236" t="n">
        <x:v>74.5</x:v>
      </x:c>
      <x:c r="N31" s="236" t="n">
        <x:v>7.4</x:v>
      </x:c>
      <x:c r="O31" s="33" t="str">
        <x:v>dark edge</x:v>
      </x:c>
      <x:c r="P31" s="33" t="str">
        <x:v>N</x:v>
      </x:c>
      <x:c r="Q31" s="33" t="n">
        <x:v>4</x:v>
      </x:c>
      <x:c r="R31" s="33" t="n">
        <x:v>7.8</x:v>
      </x:c>
      <x:c r="S31" s="34" t="str">
        <x:v>-</x:v>
      </x:c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2" t="n">
        <x:v>12</x:v>
      </x:c>
      <x:c r="K32" s="33" t="str">
        <x:v>슈가coat</x:v>
      </x:c>
      <x:c r="L32" s="33" t="n">
        <x:v>1</x:v>
      </x:c>
      <x:c r="M32" s="236" t="n">
        <x:v>74.7</x:v>
      </x:c>
      <x:c r="N32" s="236" t="n">
        <x:v>7.8</x:v>
      </x:c>
      <x:c r="O32" s="33" t="str">
        <x:v>pale</x:v>
      </x:c>
      <x:c r="P32" s="33" t="str">
        <x:v>Y</x:v>
      </x:c>
      <x:c r="Q32" s="33" t="n">
        <x:v>3.2</x:v>
      </x:c>
      <x:c r="R32" s="33" t="n">
        <x:v>7.4</x:v>
      </x:c>
      <x:c r="S32" s="34" t="str">
        <x:v>dome good</x:v>
      </x:c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2" t="n">
        <x:v>12</x:v>
      </x:c>
      <x:c r="K33" s="33" t="str">
        <x:v>슈가coat</x:v>
      </x:c>
      <x:c r="L33" s="33" t="n">
        <x:v>2</x:v>
      </x:c>
      <x:c r="M33" s="236" t="n">
        <x:v>75</x:v>
      </x:c>
      <x:c r="N33" s="236" t="n">
        <x:v>7.6</x:v>
      </x:c>
      <x:c r="O33" s="33" t="str">
        <x:v>dark edge</x:v>
      </x:c>
      <x:c r="P33" s="33" t="str">
        <x:v>N</x:v>
      </x:c>
      <x:c r="Q33" s="33" t="n">
        <x:v>3.3</x:v>
      </x:c>
      <x:c r="R33" s="33" t="n">
        <x:v>7.8</x:v>
      </x:c>
      <x:c r="S33" s="34" t="str">
        <x:v>edge↑</x:v>
      </x:c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2" t="n">
        <x:v>12</x:v>
      </x:c>
      <x:c r="K34" s="33" t="str">
        <x:v>아몬드T</x:v>
      </x:c>
      <x:c r="L34" s="33" t="n">
        <x:v>1</x:v>
      </x:c>
      <x:c r="M34" s="236" t="n">
        <x:v>75.9</x:v>
      </x:c>
      <x:c r="N34" s="236" t="n">
        <x:v>8.3</x:v>
      </x:c>
      <x:c r="O34" s="33" t="str">
        <x:v>pale</x:v>
      </x:c>
      <x:c r="P34" s="33" t="str">
        <x:v>Y</x:v>
      </x:c>
      <x:c r="Q34" s="33" t="n">
        <x:v>3.1</x:v>
      </x:c>
      <x:c r="R34" s="33" t="n">
        <x:v>7.3</x:v>
      </x:c>
      <x:c r="S34" s="34" t="str">
        <x:v>dome good</x:v>
      </x:c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2" t="n">
        <x:v>12</x:v>
      </x:c>
      <x:c r="K35" s="33" t="str">
        <x:v>아몬드T</x:v>
      </x:c>
      <x:c r="L35" s="33" t="n">
        <x:v>2</x:v>
      </x:c>
      <x:c r="M35" s="236" t="n">
        <x:v>76.4</x:v>
      </x:c>
      <x:c r="N35" s="236" t="n">
        <x:v>8.2</x:v>
      </x:c>
      <x:c r="O35" s="33" t="str">
        <x:v>brown</x:v>
      </x:c>
      <x:c r="P35" s="33" t="str">
        <x:v>N</x:v>
      </x:c>
      <x:c r="Q35" s="33" t="n">
        <x:v>4</x:v>
      </x:c>
      <x:c r="R35" s="33" t="n">
        <x:v>7.3</x:v>
      </x:c>
      <x:c r="S35" s="34" t="str">
        <x:v>-</x:v>
      </x:c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2" t="n">
        <x:v>15</x:v>
      </x:c>
      <x:c r="K36" s="33" t="str">
        <x:v>기본</x:v>
      </x:c>
      <x:c r="L36" s="33" t="n">
        <x:v>1</x:v>
      </x:c>
      <x:c r="M36" s="236" t="n">
        <x:v>85</x:v>
      </x:c>
      <x:c r="N36" s="236" t="n">
        <x:v>8</x:v>
      </x:c>
      <x:c r="O36" s="33" t="str">
        <x:v>pale</x:v>
      </x:c>
      <x:c r="P36" s="33" t="str">
        <x:v>N</x:v>
      </x:c>
      <x:c r="Q36" s="33" t="n">
        <x:v>3</x:v>
      </x:c>
      <x:c r="R36" s="33" t="n">
        <x:v>9.2</x:v>
      </x:c>
      <x:c r="S36" s="34" t="str">
        <x:v>사진</x:v>
      </x:c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2" t="n">
        <x:v>15</x:v>
      </x:c>
      <x:c r="K37" s="33" t="str">
        <x:v>기본</x:v>
      </x:c>
      <x:c r="L37" s="33" t="n">
        <x:v>2</x:v>
      </x:c>
      <x:c r="M37" s="236" t="n">
        <x:v>84.8</x:v>
      </x:c>
      <x:c r="N37" s="236" t="n">
        <x:v>8.1</x:v>
      </x:c>
      <x:c r="O37" s="33" t="str">
        <x:v>gold</x:v>
      </x:c>
      <x:c r="P37" s="33" t="str">
        <x:v>N</x:v>
      </x:c>
      <x:c r="Q37" s="33" t="n">
        <x:v>4.1</x:v>
      </x:c>
      <x:c r="R37" s="33" t="n">
        <x:v>9.3</x:v>
      </x:c>
      <x:c r="S37" s="34" t="str">
        <x:v>dome good</x:v>
      </x:c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2" t="n">
        <x:v>15</x:v>
      </x:c>
      <x:c r="K38" s="33" t="str">
        <x:v>럼</x:v>
      </x:c>
      <x:c r="L38" s="33" t="n">
        <x:v>1</x:v>
      </x:c>
      <x:c r="M38" s="236" t="n">
        <x:v>84.8</x:v>
      </x:c>
      <x:c r="N38" s="236" t="n">
        <x:v>8.8</x:v>
      </x:c>
      <x:c r="O38" s="33" t="str">
        <x:v>brown</x:v>
      </x:c>
      <x:c r="P38" s="33" t="str">
        <x:v>N</x:v>
      </x:c>
      <x:c r="Q38" s="33" t="n">
        <x:v>2.8</x:v>
      </x:c>
      <x:c r="R38" s="33" t="n">
        <x:v>9.2</x:v>
      </x:c>
      <x:c r="S38" s="34" t="str">
        <x:v>edge↑</x:v>
      </x:c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2" t="n">
        <x:v>15</x:v>
      </x:c>
      <x:c r="K39" s="33" t="str">
        <x:v>럼</x:v>
      </x:c>
      <x:c r="L39" s="33" t="n">
        <x:v>2</x:v>
      </x:c>
      <x:c r="M39" s="236" t="n">
        <x:v>84.7</x:v>
      </x:c>
      <x:c r="N39" s="236" t="n">
        <x:v>8.5</x:v>
      </x:c>
      <x:c r="O39" s="33" t="str">
        <x:v>brown</x:v>
      </x:c>
      <x:c r="P39" s="33" t="str">
        <x:v>N</x:v>
      </x:c>
      <x:c r="Q39" s="33" t="n">
        <x:v>3.9</x:v>
      </x:c>
      <x:c r="R39" s="33" t="n">
        <x:v>9.3</x:v>
      </x:c>
      <x:c r="S39" s="34" t="str">
        <x:v>edge↑</x:v>
      </x:c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2" t="n">
        <x:v>18</x:v>
      </x:c>
      <x:c r="K40" s="33" t="str">
        <x:v>기본</x:v>
      </x:c>
      <x:c r="L40" s="33" t="n">
        <x:v>1</x:v>
      </x:c>
      <x:c r="M40" s="236" t="n">
        <x:v>95.2</x:v>
      </x:c>
      <x:c r="N40" s="236" t="n">
        <x:v>9.5</x:v>
      </x:c>
      <x:c r="O40" s="33" t="str">
        <x:v>gold</x:v>
      </x:c>
      <x:c r="P40" s="33" t="str">
        <x:v>Y</x:v>
      </x:c>
      <x:c r="Q40" s="33" t="n">
        <x:v>2.8</x:v>
      </x:c>
      <x:c r="R40" s="33" t="n">
        <x:v>10.6</x:v>
      </x:c>
      <x:c r="S40" s="34" t="str">
        <x:v>사진</x:v>
      </x:c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2" t="n">
        <x:v>18</x:v>
      </x:c>
      <x:c r="K41" s="33" t="str">
        <x:v>기본</x:v>
      </x:c>
      <x:c r="L41" s="33" t="n">
        <x:v>2</x:v>
      </x:c>
      <x:c r="M41" s="236" t="n">
        <x:v>95.2</x:v>
      </x:c>
      <x:c r="N41" s="236" t="n">
        <x:v>9.3</x:v>
      </x:c>
      <x:c r="O41" s="33" t="str">
        <x:v>pale</x:v>
      </x:c>
      <x:c r="P41" s="33" t="str">
        <x:v>N</x:v>
      </x:c>
      <x:c r="Q41" s="33" t="n">
        <x:v>2.6</x:v>
      </x:c>
      <x:c r="R41" s="33" t="n">
        <x:v>10.8</x:v>
      </x:c>
      <x:c r="S41" s="34" t="str">
        <x:v>-</x:v>
      </x:c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2" t="n">
        <x:v>18</x:v>
      </x:c>
      <x:c r="K42" s="33" t="str">
        <x:v>럼</x:v>
      </x:c>
      <x:c r="L42" s="33" t="n">
        <x:v>1</x:v>
      </x:c>
      <x:c r="M42" s="236" t="n">
        <x:v>96.4</x:v>
      </x:c>
      <x:c r="N42" s="236" t="n">
        <x:v>10.2</x:v>
      </x:c>
      <x:c r="O42" s="33" t="str">
        <x:v>dark edge</x:v>
      </x:c>
      <x:c r="P42" s="33" t="str">
        <x:v>Y</x:v>
      </x:c>
      <x:c r="Q42" s="33" t="n">
        <x:v>4</x:v>
      </x:c>
      <x:c r="R42" s="33" t="n">
        <x:v>10.4</x:v>
      </x:c>
      <x:c r="S42" s="34" t="str">
        <x:v>dome good</x:v>
      </x:c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2" t="n">
        <x:v>18</x:v>
      </x:c>
      <x:c r="K43" s="33" t="str">
        <x:v>럼</x:v>
      </x:c>
      <x:c r="L43" s="33" t="n">
        <x:v>2</x:v>
      </x:c>
      <x:c r="M43" s="236" t="n">
        <x:v>96.6</x:v>
      </x:c>
      <x:c r="N43" s="236" t="n">
        <x:v>10.2</x:v>
      </x:c>
      <x:c r="O43" s="33" t="str">
        <x:v>pale</x:v>
      </x:c>
      <x:c r="P43" s="33" t="str">
        <x:v>N</x:v>
      </x:c>
      <x:c r="Q43" s="33" t="n">
        <x:v>3.7</x:v>
      </x:c>
      <x:c r="R43" s="33" t="n">
        <x:v>10.8</x:v>
      </x:c>
      <x:c r="S43" s="34" t="str">
        <x:v>사진</x:v>
      </x:c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2" t="n">
        <x:v>18</x:v>
      </x:c>
      <x:c r="K44" s="33" t="str">
        <x:v>슈가coat</x:v>
      </x:c>
      <x:c r="L44" s="33" t="n">
        <x:v>1</x:v>
      </x:c>
      <x:c r="M44" s="236" t="n">
        <x:v>96</x:v>
      </x:c>
      <x:c r="N44" s="236" t="n">
        <x:v>10.7</x:v>
      </x:c>
      <x:c r="O44" s="33" t="str">
        <x:v>dark edge</x:v>
      </x:c>
      <x:c r="P44" s="33" t="str">
        <x:v>N</x:v>
      </x:c>
      <x:c r="Q44" s="33" t="n">
        <x:v>3.3</x:v>
      </x:c>
      <x:c r="R44" s="33" t="n">
        <x:v>10.4</x:v>
      </x:c>
      <x:c r="S44" s="34" t="str">
        <x:v>edge↑</x:v>
      </x:c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2" t="n">
        <x:v>18</x:v>
      </x:c>
      <x:c r="K45" s="33" t="str">
        <x:v>슈가coat</x:v>
      </x:c>
      <x:c r="L45" s="33" t="n">
        <x:v>2</x:v>
      </x:c>
      <x:c r="M45" s="236" t="n">
        <x:v>97.2</x:v>
      </x:c>
      <x:c r="N45" s="236" t="n">
        <x:v>10.3</x:v>
      </x:c>
      <x:c r="O45" s="33" t="str">
        <x:v>pale</x:v>
      </x:c>
      <x:c r="P45" s="33" t="str">
        <x:v>Y</x:v>
      </x:c>
      <x:c r="Q45" s="33" t="n">
        <x:v>3.7</x:v>
      </x:c>
      <x:c r="R45" s="33" t="n">
        <x:v>10.9</x:v>
      </x:c>
      <x:c r="S45" s="34" t="str">
        <x:v>사진</x:v>
      </x:c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2" t="n">
        <x:v>18</x:v>
      </x:c>
      <x:c r="K46" s="33" t="str">
        <x:v>아몬드T</x:v>
      </x:c>
      <x:c r="L46" s="33" t="n">
        <x:v>1</x:v>
      </x:c>
      <x:c r="M46" s="236" t="n">
        <x:v>97.2</x:v>
      </x:c>
      <x:c r="N46" s="236" t="n">
        <x:v>10.6</x:v>
      </x:c>
      <x:c r="O46" s="33" t="str">
        <x:v>dark edge</x:v>
      </x:c>
      <x:c r="P46" s="33" t="str">
        <x:v>Y</x:v>
      </x:c>
      <x:c r="Q46" s="33" t="n">
        <x:v>4.7</x:v>
      </x:c>
      <x:c r="R46" s="33" t="n">
        <x:v>10.5</x:v>
      </x:c>
      <x:c r="S46" s="34" t="str">
        <x:v>dome good</x:v>
      </x:c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2" t="n">
        <x:v>18</x:v>
      </x:c>
      <x:c r="K47" s="33" t="str">
        <x:v>아몬드T</x:v>
      </x:c>
      <x:c r="L47" s="33" t="n">
        <x:v>2</x:v>
      </x:c>
      <x:c r="M47" s="236" t="n">
        <x:v>97.7</x:v>
      </x:c>
      <x:c r="N47" s="236" t="n">
        <x:v>10.8</x:v>
      </x:c>
      <x:c r="O47" s="33" t="str">
        <x:v>gold</x:v>
      </x:c>
      <x:c r="P47" s="33" t="str">
        <x:v>N</x:v>
      </x:c>
      <x:c r="Q47" s="33" t="n">
        <x:v>4.2</x:v>
      </x:c>
      <x:c r="R47" s="33" t="n">
        <x:v>10.3</x:v>
      </x:c>
      <x:c r="S47" s="34" t="str">
        <x:v>dome good</x:v>
      </x:c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2" t="n">
        <x:v>21</x:v>
      </x:c>
      <x:c r="K48" s="33" t="str">
        <x:v>기본</x:v>
      </x:c>
      <x:c r="L48" s="33" t="n">
        <x:v>1</x:v>
      </x:c>
      <x:c r="M48" s="236" t="n">
        <x:v>99.4</x:v>
      </x:c>
      <x:c r="N48" s="236" t="n">
        <x:v>10.9</x:v>
      </x:c>
      <x:c r="O48" s="33" t="str">
        <x:v>gold</x:v>
      </x:c>
      <x:c r="P48" s="33" t="str">
        <x:v>N</x:v>
      </x:c>
      <x:c r="Q48" s="33" t="n">
        <x:v>4.2</x:v>
      </x:c>
      <x:c r="R48" s="33" t="n">
        <x:v>12.4</x:v>
      </x:c>
      <x:c r="S48" s="34" t="str">
        <x:v>사진</x:v>
      </x:c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2" t="n">
        <x:v>21</x:v>
      </x:c>
      <x:c r="K49" s="33" t="str">
        <x:v>기본</x:v>
      </x:c>
      <x:c r="L49" s="33" t="n">
        <x:v>2</x:v>
      </x:c>
      <x:c r="M49" s="236" t="n">
        <x:v>99.4</x:v>
      </x:c>
      <x:c r="N49" s="236" t="n">
        <x:v>11.3</x:v>
      </x:c>
      <x:c r="O49" s="33" t="str">
        <x:v>brown</x:v>
      </x:c>
      <x:c r="P49" s="33" t="str">
        <x:v>Y</x:v>
      </x:c>
      <x:c r="Q49" s="33" t="n">
        <x:v>4</x:v>
      </x:c>
      <x:c r="R49" s="33" t="n">
        <x:v>12.4</x:v>
      </x:c>
      <x:c r="S49" s="34" t="str">
        <x:v>dome good</x:v>
      </x:c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2" t="n">
        <x:v>21</x:v>
      </x:c>
      <x:c r="K50" s="33" t="str">
        <x:v>슈가coat</x:v>
      </x:c>
      <x:c r="L50" s="33" t="n">
        <x:v>1</x:v>
      </x:c>
      <x:c r="M50" s="236" t="n">
        <x:v>99.4</x:v>
      </x:c>
      <x:c r="N50" s="236" t="n">
        <x:v>11.3</x:v>
      </x:c>
      <x:c r="O50" s="33" t="str">
        <x:v>dark edge</x:v>
      </x:c>
      <x:c r="P50" s="33" t="str">
        <x:v>N</x:v>
      </x:c>
      <x:c r="Q50" s="33" t="n">
        <x:v>3.9</x:v>
      </x:c>
      <x:c r="R50" s="33" t="n">
        <x:v>12.4</x:v>
      </x:c>
      <x:c r="S50" s="34" t="str">
        <x:v>dome good</x:v>
      </x:c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5" t="n">
        <x:v>21</x:v>
      </x:c>
      <x:c r="K51" s="36" t="str">
        <x:v>슈가coat</x:v>
      </x:c>
      <x:c r="L51" s="36" t="n">
        <x:v>2</x:v>
      </x:c>
      <x:c r="M51" s="237" t="n">
        <x:v>99.4</x:v>
      </x:c>
      <x:c r="N51" s="237" t="n">
        <x:v>11.7</x:v>
      </x:c>
      <x:c r="O51" s="36" t="str">
        <x:v>dark edge</x:v>
      </x:c>
      <x:c r="P51" s="36" t="str">
        <x:v>N</x:v>
      </x:c>
      <x:c r="Q51" s="36" t="n">
        <x:v>5</x:v>
      </x:c>
      <x:c r="R51" s="36" t="n">
        <x:v>12.3</x:v>
      </x:c>
      <x:c r="S51" s="37" t="str">
        <x:v>edge↑</x:v>
      </x:c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</x:sheetData>
  <x:mergeCells>
    <x:mergeCell ref="D3:P4"/>
    <x:mergeCell ref="K8:K9"/>
    <x:mergeCell ref="J8:J9"/>
    <x:mergeCell ref="K10:K11"/>
    <x:mergeCell ref="J10:J11"/>
    <x:mergeCell ref="K12:K13"/>
    <x:mergeCell ref="J12:J13"/>
    <x:mergeCell ref="K14:K15"/>
    <x:mergeCell ref="J14:J15"/>
    <x:mergeCell ref="K16:K17"/>
    <x:mergeCell ref="J16:J17"/>
    <x:mergeCell ref="K18:K19"/>
    <x:mergeCell ref="J18:J19"/>
    <x:mergeCell ref="K20:K21"/>
    <x:mergeCell ref="J20:J21"/>
    <x:mergeCell ref="K22:K23"/>
    <x:mergeCell ref="J22:J23"/>
    <x:mergeCell ref="K24:K25"/>
    <x:mergeCell ref="J24:J25"/>
    <x:mergeCell ref="K26:K27"/>
    <x:mergeCell ref="J26:J27"/>
    <x:mergeCell ref="K28:K29"/>
    <x:mergeCell ref="J28:J29"/>
    <x:mergeCell ref="K30:K31"/>
    <x:mergeCell ref="J30:J31"/>
    <x:mergeCell ref="K32:K33"/>
    <x:mergeCell ref="J32:J33"/>
    <x:mergeCell ref="K34:K35"/>
    <x:mergeCell ref="J34:J35"/>
    <x:mergeCell ref="K36:K37"/>
    <x:mergeCell ref="J36:J37"/>
    <x:mergeCell ref="K38:K39"/>
    <x:mergeCell ref="J38:J39"/>
    <x:mergeCell ref="K40:K41"/>
    <x:mergeCell ref="J40:J41"/>
    <x:mergeCell ref="K42:K43"/>
    <x:mergeCell ref="J42:J43"/>
    <x:mergeCell ref="K44:K45"/>
    <x:mergeCell ref="J44:J45"/>
    <x:mergeCell ref="K46:K47"/>
    <x:mergeCell ref="J46:J47"/>
    <x:mergeCell ref="K48:K49"/>
    <x:mergeCell ref="J48:J49"/>
    <x:mergeCell ref="K50:K51"/>
    <x:mergeCell ref="J50:J51"/>
  </x:mergeCells>
  <x:pageMargins left="0.7" right="0.7" top="0.75" bottom="0.75" header="0.3" footer="0.3"/>
  <x:drawing xmlns:r="http://schemas.openxmlformats.org/officeDocument/2006/relationships" r:id="R043e3a079e3349f3"/>
</x:worksheet>
</file>

<file path=xl/worksheets/sheet10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2">
      <x:c r="F2" s="261" t="str">
        <x:v>오리지날 럼/토핑/코팅 판매율 + 원가상승</x:v>
      </x:c>
      <x:c r="G2" s="262"/>
      <x:c r="H2" s="262"/>
      <x:c r="I2" s="262"/>
      <x:c r="J2" s="262"/>
      <x:c r="K2" s="262"/>
      <x:c r="L2" s="262"/>
      <x:c r="M2" s="262"/>
      <x:c r="N2" s="262"/>
      <x:c r="O2" s="262"/>
      <x:c r="P2" s="263"/>
    </x:row>
    <x:row r="3">
      <x:c r="F3" s="264"/>
      <x:c r="G3" s="265"/>
      <x:c r="H3" s="265"/>
      <x:c r="I3" s="265"/>
      <x:c r="J3" s="265"/>
      <x:c r="K3" s="265"/>
      <x:c r="L3" s="265"/>
      <x:c r="M3" s="265"/>
      <x:c r="N3" s="265"/>
      <x:c r="O3" s="265"/>
      <x:c r="P3" s="266"/>
    </x:row>
    <x:row r="6">
      <x:c r="F6" s="58" t="str">
        <x:v>Option</x:v>
      </x:c>
      <x:c r="G6" s="59" t="str">
        <x:v>add.cost</x:v>
      </x:c>
      <x:c r="H6" s="59" t="str">
        <x:v>base.cost</x:v>
      </x:c>
      <x:c r="I6" s="59" t="str">
        <x:v>↑cost%</x:v>
      </x:c>
      <x:c r="J6" s="59" t="str">
        <x:v>sales%</x:v>
      </x:c>
      <x:c r="K6" s="59" t="str">
        <x:v>repeat.idx</x:v>
      </x:c>
      <x:c r="L6" s="59" t="str">
        <x:v>ticket</x:v>
      </x:c>
      <x:c r="M6" s="59" t="str">
        <x:v>memo</x:v>
      </x:c>
      <x:c r="N6" s="59" t="str">
        <x:v>remark</x:v>
      </x:c>
      <x:c r="O6" s="60" t="str">
        <x:v>flag</x:v>
      </x:c>
    </x:row>
    <x:row r="7">
      <x:c r="F7" s="212" t="str"/>
      <x:c r="G7" s="213" t="str">
        <x:v>₩/ea</x:v>
      </x:c>
      <x:c r="H7" s="213" t="str">
        <x:v>₩/ea</x:v>
      </x:c>
      <x:c r="I7" s="213" t="str">
        <x:v>%</x:v>
      </x:c>
      <x:c r="J7" s="213" t="str">
        <x:v>%</x:v>
      </x:c>
      <x:c r="K7" s="213" t="str">
        <x:v>idx</x:v>
      </x:c>
      <x:c r="L7" s="213" t="str">
        <x:v>₩</x:v>
      </x:c>
      <x:c r="M7" s="213" t="str"/>
      <x:c r="N7" s="213" t="str"/>
      <x:c r="O7" s="214" t="str"/>
    </x:row>
    <x:row r="8">
      <x:c r="F8" s="12" t="str">
        <x:v>기본</x:v>
      </x:c>
      <x:c r="G8" s="13" t="n">
        <x:v>0</x:v>
      </x:c>
      <x:c r="H8" s="13" t="n">
        <x:v>456.5</x:v>
      </x:c>
      <x:c r="I8" s="13" t="n">
        <x:v>0</x:v>
      </x:c>
      <x:c r="J8" s="13" t="n">
        <x:v>66.1</x:v>
      </x:c>
      <x:c r="K8" s="13" t="n">
        <x:v>0.66</x:v>
      </x:c>
      <x:c r="L8" s="13" t="n">
        <x:v>1250</x:v>
      </x:c>
      <x:c r="M8" s="13" t="str">
        <x:v>원가부담</x:v>
      </x:c>
      <x:c r="N8" s="13" t="str">
        <x:v>RUM</x:v>
      </x:c>
      <x:c r="O8" s="14" t="str"/>
    </x:row>
    <x:row r="9">
      <x:c r="F9" s="15" t="str">
        <x:v>럼 추가</x:v>
      </x:c>
      <x:c r="G9" s="16" t="n">
        <x:v>27.9</x:v>
      </x:c>
      <x:c r="H9" s="16" t="n">
        <x:v>456.5</x:v>
      </x:c>
      <x:c r="I9" s="16" t="n">
        <x:v>6.1</x:v>
      </x:c>
      <x:c r="J9" s="16" t="n">
        <x:v>74.5</x:v>
      </x:c>
      <x:c r="K9" s="16" t="n">
        <x:v>0.81</x:v>
      </x:c>
      <x:c r="L9" s="16" t="n">
        <x:v>1390</x:v>
      </x:c>
      <x:c r="M9" s="16" t="str">
        <x:v>선물용</x:v>
      </x:c>
      <x:c r="N9" s="16" t="str">
        <x:v>manual</x:v>
      </x:c>
      <x:c r="O9" s="17" t="str"/>
    </x:row>
    <x:row r="10">
      <x:c r="F10" s="15" t="str">
        <x:v>설탕 코팅</x:v>
      </x:c>
      <x:c r="G10" s="16" t="n">
        <x:v>18.3</x:v>
      </x:c>
      <x:c r="H10" s="16" t="n">
        <x:v>456.5</x:v>
      </x:c>
      <x:c r="I10" s="16" t="n">
        <x:v>4</x:v>
      </x:c>
      <x:c r="J10" s="16" t="n">
        <x:v>68.2</x:v>
      </x:c>
      <x:c r="K10" s="16" t="n">
        <x:v>0.74</x:v>
      </x:c>
      <x:c r="L10" s="16" t="n">
        <x:v>1410</x:v>
      </x:c>
      <x:c r="M10" s="16" t="str">
        <x:v>원가부담</x:v>
      </x:c>
      <x:c r="N10" s="16" t="str">
        <x:v>est.</x:v>
      </x:c>
      <x:c r="O10" s="17" t="str"/>
    </x:row>
    <x:row r="11">
      <x:c r="F11" s="15" t="str">
        <x:v>토핑</x:v>
      </x:c>
      <x:c r="G11" s="16" t="n">
        <x:v>36.1</x:v>
      </x:c>
      <x:c r="H11" s="16" t="n">
        <x:v>456.5</x:v>
      </x:c>
      <x:c r="I11" s="16" t="n">
        <x:v>7.9</x:v>
      </x:c>
      <x:c r="J11" s="16" t="n">
        <x:v>76</x:v>
      </x:c>
      <x:c r="K11" s="16" t="n">
        <x:v>0.78</x:v>
      </x:c>
      <x:c r="L11" s="16" t="n">
        <x:v>1240</x:v>
      </x:c>
      <x:c r="M11" s="16" t="str">
        <x:v>원가부담</x:v>
      </x:c>
      <x:c r="N11" s="16" t="str">
        <x:v>RUM</x:v>
      </x:c>
      <x:c r="O11" s="17" t="str"/>
    </x:row>
    <x:row r="12">
      <x:c r="F12" s="15" t="str">
        <x:v>럼+토핑</x:v>
      </x:c>
      <x:c r="G12" s="16" t="n">
        <x:v>58.1</x:v>
      </x:c>
      <x:c r="H12" s="16" t="n">
        <x:v>456.5</x:v>
      </x:c>
      <x:c r="I12" s="16" t="n">
        <x:v>12.7</x:v>
      </x:c>
      <x:c r="J12" s="16" t="n">
        <x:v>78.4</x:v>
      </x:c>
      <x:c r="K12" s="16" t="n">
        <x:v>0.85</x:v>
      </x:c>
      <x:c r="L12" s="16" t="n">
        <x:v>1550</x:v>
      </x:c>
      <x:c r="M12" s="16" t="str">
        <x:v>SNS↑</x:v>
      </x:c>
      <x:c r="N12" s="16" t="str">
        <x:v>RUM</x:v>
      </x:c>
      <x:c r="O12" s="17" t="str">
        <x:v>★</x:v>
      </x:c>
    </x:row>
    <x:row r="13">
      <x:c r="F13" s="18" t="str">
        <x:v>코팅+토핑</x:v>
      </x:c>
      <x:c r="G13" s="19" t="n">
        <x:v>47.9</x:v>
      </x:c>
      <x:c r="H13" s="19" t="n">
        <x:v>456.5</x:v>
      </x:c>
      <x:c r="I13" s="19" t="n">
        <x:v>10.5</x:v>
      </x:c>
      <x:c r="J13" s="19" t="n">
        <x:v>73.7</x:v>
      </x:c>
      <x:c r="K13" s="19" t="n">
        <x:v>0.8</x:v>
      </x:c>
      <x:c r="L13" s="19" t="n">
        <x:v>1560</x:v>
      </x:c>
      <x:c r="M13" s="19" t="str"/>
      <x:c r="N13" s="19" t="str">
        <x:v>sugar</x:v>
      </x:c>
      <x:c r="O13" s="20" t="str"/>
    </x:row>
  </x:sheetData>
  <x:mergeCells>
    <x:mergeCell ref="F2:P3"/>
  </x:mergeCells>
  <x:pageMargins left="0.7" right="0.7" top="0.75" bottom="0.75" header="0.3" footer="0.3"/>
  <x:drawing xmlns:r="http://schemas.openxmlformats.org/officeDocument/2006/relationships" r:id="R01268577867b4bdf"/>
</x:worksheet>
</file>

<file path=xl/worksheets/sheet1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3">
      <x:c r="B3" s="308" t="str">
        <x:v>작업/메모</x:v>
      </x:c>
      <x:c r="C3" s="309" t="str">
        <x:v>오리지날</x:v>
      </x:c>
      <x:c r="D3" s="309" t="str"/>
      <x:c r="E3" s="309" t="str"/>
      <x:c r="F3" s="309" t="str"/>
      <x:c r="G3" s="309" t="str"/>
      <x:c r="H3" s="310" t="str"/>
    </x:row>
    <x:row r="4">
      <x:c r="B4" s="15" t="str">
        <x:v>TODO</x:v>
      </x:c>
      <x:c r="C4" s="16" t="str">
        <x:v>probe 위치 재확인</x:v>
      </x:c>
      <x:c r="D4" s="16" t="str">
        <x:v>priority</x:v>
      </x:c>
      <x:c r="E4" s="16" t="str">
        <x:v>HIGH</x:v>
      </x:c>
      <x:c r="F4" s="16" t="str"/>
      <x:c r="G4" s="16" t="str"/>
      <x:c r="H4" s="17" t="str"/>
    </x:row>
    <x:row r="5">
      <x:c r="B5" s="15" t="str">
        <x:v>NOTE</x:v>
      </x:c>
      <x:c r="C5" s="16" t="str">
        <x:v>일부 sheet 명 바꾸지 말 것</x:v>
      </x:c>
      <x:c r="D5" s="16" t="str"/>
      <x:c r="E5" s="16" t="str"/>
      <x:c r="F5" s="16" t="str"/>
      <x:c r="G5" s="16" t="str"/>
      <x:c r="H5" s="17" t="str"/>
    </x:row>
    <x:row r="6">
      <x:c r="B6" s="15" t="str">
        <x:v>temp gap</x:v>
      </x:c>
      <x:c r="C6" s="16" t="str">
        <x:v>실험 없는 온도 존재</x:v>
      </x:c>
      <x:c r="D6" s="16" t="str">
        <x:v>reason</x:v>
      </x:c>
      <x:c r="E6" s="16" t="str">
        <x:v>시간부족</x:v>
      </x:c>
      <x:c r="F6" s="16" t="str"/>
      <x:c r="G6" s="16" t="str"/>
      <x:c r="H6" s="17" t="str"/>
    </x:row>
    <x:row r="7">
      <x:c r="B7" s="15" t="str">
        <x:v>data</x:v>
      </x:c>
      <x:c r="C7" s="16" t="str">
        <x:v>사진/수기/수식 혼합</x:v>
      </x:c>
      <x:c r="D7" s="16" t="str"/>
      <x:c r="E7" s="16" t="str"/>
      <x:c r="F7" s="16" t="str"/>
      <x:c r="G7" s="16" t="str"/>
      <x:c r="H7" s="17" t="str"/>
    </x:row>
    <x:row r="8">
      <x:c r="B8" s="15" t="str">
        <x:v>owner</x:v>
      </x:c>
      <x:c r="C8" s="16" t="str">
        <x:v>QA?</x:v>
      </x:c>
      <x:c r="D8" s="16" t="str">
        <x:v>date</x:v>
      </x:c>
      <x:c r="E8" s="16" t="str">
        <x:v>2026-09</x:v>
      </x:c>
      <x:c r="F8" s="16" t="str"/>
      <x:c r="G8" s="16" t="str"/>
      <x:c r="H8" s="17" t="str"/>
    </x:row>
    <x:row r="9">
      <x:c r="B9" s="15" t="str">
        <x:v>!!!</x:v>
      </x:c>
      <x:c r="C9" s="16" t="str">
        <x:v>색상 자체가 정보임</x:v>
      </x:c>
      <x:c r="D9" s="16" t="str"/>
      <x:c r="E9" s="16" t="str"/>
      <x:c r="F9" s="16" t="str"/>
      <x:c r="G9" s="16" t="str"/>
      <x:c r="H9" s="17" t="str"/>
    </x:row>
    <x:row r="10">
      <x:c r="B10" s="18" t="str">
        <x:v>old</x:v>
      </x:c>
      <x:c r="C10" s="19" t="str">
        <x:v>지우지 말 것</x:v>
      </x:c>
      <x:c r="D10" s="19" t="str"/>
      <x:c r="E10" s="19" t="str"/>
      <x:c r="F10" s="19" t="str"/>
      <x:c r="G10" s="19" t="str"/>
      <x:c r="H10" s="20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4" max="4" width="14" hidden="0" customWidth="1"/>
    <x:col min="5" max="5" width="14" hidden="0" customWidth="1"/>
    <x:col min="6" max="6" width="18" hidden="0" customWidth="1"/>
    <x:col min="7" max="7" width="14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3">
      <x:c r="D3" s="315" t="str">
        <x:v>오리지날 포장지 후보 / package concept notes</x:v>
      </x:c>
      <x:c r="E3" s="315"/>
      <x:c r="F3" s="315"/>
      <x:c r="G3" s="315"/>
      <x:c r="H3" s="315"/>
      <x:c r="I3" s="315"/>
      <x:c r="J3" s="315"/>
      <x:c r="K3" s="315"/>
      <x:c r="L3" s="315"/>
      <x:c r="M3" s="315"/>
      <x:c r="N3" s="315"/>
      <x:c r="O3" s="315"/>
      <x:c r="P3" s="315"/>
      <x:c r="Q3" s="315"/>
    </x:row>
    <x:row r="4">
      <x:c r="D4" s="315"/>
      <x:c r="E4" s="315"/>
      <x:c r="F4" s="315"/>
      <x:c r="G4" s="315"/>
      <x:c r="H4" s="315"/>
      <x:c r="I4" s="315"/>
      <x:c r="J4" s="315"/>
      <x:c r="K4" s="315"/>
      <x:c r="L4" s="315"/>
      <x:c r="M4" s="315"/>
      <x:c r="N4" s="315"/>
      <x:c r="O4" s="315"/>
      <x:c r="P4" s="315"/>
      <x:c r="Q4" s="315"/>
    </x:row>
    <x:row r="5"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</x:row>
    <x:row r="6">
      <x:c r="D6" s="320" t="str">
        <x:v>디자인 후보</x:v>
      </x:c>
      <x:c r="E6" s="320"/>
      <x:c r="F6" s="320"/>
      <x:c r="G6" s="320"/>
      <x:c r="H6" s="320"/>
      <x:c r="I6" s="33"/>
      <x:c r="J6" s="33"/>
      <x:c r="K6" s="33"/>
      <x:c r="L6" s="33"/>
      <x:c r="M6" s="33"/>
      <x:c r="N6" s="33"/>
      <x:c r="O6" s="33"/>
      <x:c r="P6" s="33"/>
      <x:c r="Q6" s="33"/>
    </x:row>
    <x:row r="7">
      <x:c r="D7" s="332" t="str">
        <x:v>후보</x:v>
      </x:c>
      <x:c r="E7" s="333" t="str">
        <x:v>캐릭터</x:v>
      </x:c>
      <x:c r="F7" s="333" t="str">
        <x:v>첫인상</x:v>
      </x:c>
      <x:c r="G7" s="333" t="str">
        <x:v>인쇄</x:v>
      </x:c>
      <x:c r="H7" s="334" t="str">
        <x:v>메모</x:v>
      </x:c>
      <x:c r="I7" s="33"/>
      <x:c r="J7" s="33"/>
      <x:c r="K7" s="33"/>
      <x:c r="L7" s="33"/>
      <x:c r="M7" s="33"/>
      <x:c r="N7" s="33"/>
      <x:c r="O7" s="33"/>
      <x:c r="P7" s="33"/>
      <x:c r="Q7" s="33"/>
    </x:row>
    <x:row r="8">
      <x:c r="D8" s="29" t="str">
        <x:v>A</x:v>
      </x:c>
      <x:c r="E8" s="30" t="str">
        <x:v>오리 chef</x:v>
      </x:c>
      <x:c r="F8" s="337" t="str">
        <x:v>귀여움 / 눈에 띔</x:v>
      </x:c>
      <x:c r="G8" s="30" t="str">
        <x:v>CMYK test 필요</x:v>
      </x:c>
      <x:c r="H8" s="31" t="str">
        <x:v>전면 크게?</x:v>
      </x:c>
      <x:c r="I8" s="33"/>
      <x:c r="J8" s="33"/>
      <x:c r="K8" s="33"/>
      <x:c r="L8" s="33"/>
      <x:c r="M8" s="33"/>
      <x:c r="N8" s="33"/>
      <x:c r="O8" s="33"/>
      <x:c r="P8" s="33"/>
      <x:c r="Q8" s="33"/>
    </x:row>
    <x:row r="9">
      <x:c r="D9" s="32" t="str">
        <x:v>B</x:v>
      </x:c>
      <x:c r="E9" s="336" t="str">
        <x:v>고양이</x:v>
      </x:c>
      <x:c r="F9" s="338" t="str">
        <x:v>조금 더 차분</x:v>
      </x:c>
      <x:c r="G9" s="336" t="str">
        <x:v>선 얇음 주의</x:v>
      </x:c>
      <x:c r="H9" s="34" t="str">
        <x:v>스티커용 가능</x:v>
      </x:c>
      <x:c r="I9" s="33"/>
      <x:c r="J9" s="33"/>
      <x:c r="K9" s="33"/>
      <x:c r="L9" s="33"/>
      <x:c r="M9" s="33"/>
      <x:c r="N9" s="33"/>
      <x:c r="O9" s="33"/>
      <x:c r="P9" s="33"/>
      <x:c r="Q9" s="33"/>
    </x:row>
    <x:row r="10">
      <x:c r="D10" s="32" t="str">
        <x:v>C</x:v>
      </x:c>
      <x:c r="E10" s="336" t="str">
        <x:v>부엉이</x:v>
      </x:c>
      <x:c r="F10" s="338" t="str">
        <x:v>브랜드화 가능</x:v>
      </x:c>
      <x:c r="G10" s="336" t="str">
        <x:v>갈색지 확인</x:v>
      </x:c>
      <x:c r="H10" s="34" t="str">
        <x:v>시안 보류</x:v>
      </x:c>
      <x:c r="I10" s="33"/>
      <x:c r="J10" s="33"/>
      <x:c r="K10" s="33"/>
      <x:c r="L10" s="33"/>
      <x:c r="M10" s="33"/>
      <x:c r="N10" s="33"/>
      <x:c r="O10" s="33"/>
      <x:c r="P10" s="33"/>
      <x:c r="Q10" s="33"/>
    </x:row>
    <x:row r="11">
      <x:c r="D11" s="35" t="str">
        <x:v>결론</x:v>
      </x:c>
      <x:c r="E11" s="36" t="str">
        <x:v>미정</x:v>
      </x:c>
      <x:c r="F11" s="36" t="str">
        <x:v>샘플 뽑아보고</x:v>
      </x:c>
      <x:c r="G11" s="36" t="str">
        <x:v>재검토</x:v>
      </x:c>
      <x:c r="H11" s="37" t="str">
        <x:v>★ 너무 유아틱한가?</x:v>
      </x:c>
      <x:c r="I11" s="33"/>
      <x:c r="J11" s="33"/>
      <x:c r="K11" s="33"/>
      <x:c r="L11" s="33"/>
      <x:c r="M11" s="33"/>
      <x:c r="N11" s="33"/>
      <x:c r="O11" s="33"/>
      <x:c r="P11" s="33"/>
      <x:c r="Q11" s="33"/>
    </x:row>
    <x:row r="12"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</x:row>
    <x:row r="13"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</x:row>
    <x:row r="14">
      <x:c r="D14" s="320" t="str">
        <x:v>포장재/사이즈 대충 기록</x:v>
      </x:c>
      <x:c r="E14" s="320"/>
      <x:c r="F14" s="320"/>
      <x:c r="G14" s="320"/>
      <x:c r="H14" s="320"/>
      <x:c r="I14" s="33"/>
      <x:c r="J14" s="33"/>
      <x:c r="K14" s="33"/>
      <x:c r="L14" s="33"/>
      <x:c r="M14" s="33"/>
      <x:c r="N14" s="33"/>
      <x:c r="O14" s="33"/>
      <x:c r="P14" s="33"/>
      <x:c r="Q14" s="33"/>
    </x:row>
    <x:row r="15">
      <x:c r="D15" s="350" t="str">
        <x:v>항목</x:v>
      </x:c>
      <x:c r="E15" s="351" t="str">
        <x:v>값</x:v>
      </x:c>
      <x:c r="F15" s="351" t="str">
        <x:v>unit</x:v>
      </x:c>
      <x:c r="G15" s="351" t="str">
        <x:v>선택?</x:v>
      </x:c>
      <x:c r="H15" s="352" t="str">
        <x:v>메모</x:v>
      </x:c>
      <x:c r="I15" s="33"/>
      <x:c r="J15" s="33"/>
      <x:c r="K15" s="33"/>
      <x:c r="L15" s="33"/>
      <x:c r="M15" s="33"/>
      <x:c r="N15" s="33"/>
      <x:c r="O15" s="33"/>
      <x:c r="P15" s="33"/>
      <x:c r="Q15" s="33"/>
    </x:row>
    <x:row r="16">
      <x:c r="D16" s="29" t="str">
        <x:v>봉투 폭</x:v>
      </x:c>
      <x:c r="E16" s="30" t="n">
        <x:v>92</x:v>
      </x:c>
      <x:c r="F16" s="30" t="str">
        <x:v>mm</x:v>
      </x:c>
      <x:c r="G16" s="30" t="str">
        <x:v>Y</x:v>
      </x:c>
      <x:c r="H16" s="31" t="str">
        <x:v>12개입 아님, 낱개</x:v>
      </x:c>
      <x:c r="I16" s="33"/>
      <x:c r="J16" s="33"/>
      <x:c r="K16" s="33"/>
      <x:c r="L16" s="33"/>
      <x:c r="M16" s="33"/>
      <x:c r="N16" s="33"/>
      <x:c r="O16" s="33"/>
      <x:c r="P16" s="33"/>
      <x:c r="Q16" s="33"/>
    </x:row>
    <x:row r="17">
      <x:c r="D17" s="32" t="str">
        <x:v>봉투 높이</x:v>
      </x:c>
      <x:c r="E17" s="336" t="n">
        <x:v>118</x:v>
      </x:c>
      <x:c r="F17" s="336" t="str">
        <x:v>mm</x:v>
      </x:c>
      <x:c r="G17" s="336" t="str">
        <x:v>Y</x:v>
      </x:c>
      <x:c r="H17" s="34" t="str">
        <x:v>+접착부</x:v>
      </x:c>
      <x:c r="I17" s="33"/>
      <x:c r="J17" s="33"/>
      <x:c r="K17" s="33"/>
      <x:c r="L17" s="33"/>
      <x:c r="M17" s="33"/>
      <x:c r="N17" s="33"/>
      <x:c r="O17" s="33"/>
      <x:c r="P17" s="33"/>
      <x:c r="Q17" s="33"/>
    </x:row>
    <x:row r="18">
      <x:c r="D18" s="32" t="str">
        <x:v>필름</x:v>
      </x:c>
      <x:c r="E18" s="336" t="str">
        <x:v>OPP+CPP</x:v>
      </x:c>
      <x:c r="F18" s="336" t="str"/>
      <x:c r="G18" s="336" t="str">
        <x:v>?</x:v>
      </x:c>
      <x:c r="H18" s="34" t="str">
        <x:v>무광도 후보</x:v>
      </x:c>
      <x:c r="I18" s="33"/>
      <x:c r="J18" s="33"/>
      <x:c r="K18" s="33"/>
      <x:c r="L18" s="33"/>
      <x:c r="M18" s="33"/>
      <x:c r="N18" s="33"/>
      <x:c r="O18" s="33"/>
      <x:c r="P18" s="33"/>
      <x:c r="Q18" s="33"/>
    </x:row>
    <x:row r="19">
      <x:c r="D19" s="32" t="str">
        <x:v>스티커</x:v>
      </x:c>
      <x:c r="E19" s="336" t="n">
        <x:v>45</x:v>
      </x:c>
      <x:c r="F19" s="336" t="str">
        <x:v>mm</x:v>
      </x:c>
      <x:c r="G19" s="336" t="str">
        <x:v>Y</x:v>
      </x:c>
      <x:c r="H19" s="34" t="str">
        <x:v>원형/사각 비교</x:v>
      </x:c>
      <x:c r="I19" s="33"/>
      <x:c r="J19" s="33"/>
      <x:c r="K19" s="33"/>
      <x:c r="L19" s="33"/>
      <x:c r="M19" s="33"/>
      <x:c r="N19" s="33"/>
      <x:c r="O19" s="33"/>
      <x:c r="P19" s="33"/>
      <x:c r="Q19" s="33"/>
    </x:row>
    <x:row r="20">
      <x:c r="D20" s="35" t="str">
        <x:v>인쇄도수</x:v>
      </x:c>
      <x:c r="E20" s="36" t="str">
        <x:v>4C</x:v>
      </x:c>
      <x:c r="F20" s="36" t="str">
        <x:v>color</x:v>
      </x:c>
      <x:c r="G20" s="36" t="str">
        <x:v>?</x:v>
      </x:c>
      <x:c r="H20" s="37" t="str">
        <x:v>단색 버전도 봄</x:v>
      </x:c>
      <x:c r="I20" s="33"/>
      <x:c r="J20" s="33"/>
      <x:c r="K20" s="33"/>
      <x:c r="L20" s="33"/>
      <x:c r="M20" s="33"/>
      <x:c r="N20" s="33"/>
      <x:c r="O20" s="33"/>
      <x:c r="P20" s="33"/>
      <x:c r="Q20" s="33"/>
    </x:row>
    <x:row r="21"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</x:row>
    <x:row r="22"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</x:row>
    <x:row r="23">
      <x:c r="D23" s="364" t="str">
        <x:v>메모
• 포장지 때문에 넣어둔 시트라 실험 데이터랑 직접 관계 없음
• 오리/고양이/부엉이 중 뭘 쓸지는 아직 미정
• 실제 납품용 로고는 별도
• '귀여운 쪽'과 '고급스러운 쪽' 두 방향 비교
• 색상 셀은 사람 눈으로 보기 위한 표시일 뿐</x:v>
      </x:c>
      <x:c r="E23" s="365"/>
      <x:c r="F23" s="365"/>
      <x:c r="G23" s="365"/>
      <x:c r="H23" s="366"/>
      <x:c r="I23" s="33"/>
      <x:c r="J23" s="33"/>
      <x:c r="K23" s="33"/>
      <x:c r="L23" s="33"/>
      <x:c r="M23" s="33"/>
      <x:c r="N23" s="33"/>
      <x:c r="O23" s="33"/>
      <x:c r="P23" s="33"/>
      <x:c r="Q23" s="33"/>
    </x:row>
    <x:row r="24">
      <x:c r="D24" s="367"/>
      <x:c r="E24" s="368"/>
      <x:c r="F24" s="368"/>
      <x:c r="G24" s="368"/>
      <x:c r="H24" s="369"/>
      <x:c r="I24" s="33"/>
      <x:c r="J24" s="33"/>
      <x:c r="K24" s="33"/>
      <x:c r="L24" s="33"/>
      <x:c r="M24" s="33"/>
      <x:c r="N24" s="33"/>
      <x:c r="O24" s="33"/>
      <x:c r="P24" s="33"/>
      <x:c r="Q24" s="33"/>
    </x:row>
    <x:row r="25">
      <x:c r="D25" s="367"/>
      <x:c r="E25" s="368"/>
      <x:c r="F25" s="368"/>
      <x:c r="G25" s="368"/>
      <x:c r="H25" s="369"/>
      <x:c r="I25" s="33"/>
      <x:c r="J25" s="33"/>
      <x:c r="K25" s="33"/>
      <x:c r="L25" s="33"/>
      <x:c r="M25" s="33"/>
      <x:c r="N25" s="33"/>
      <x:c r="O25" s="33"/>
      <x:c r="P25" s="33"/>
      <x:c r="Q25" s="33"/>
    </x:row>
    <x:row r="26">
      <x:c r="D26" s="367"/>
      <x:c r="E26" s="368"/>
      <x:c r="F26" s="368"/>
      <x:c r="G26" s="368"/>
      <x:c r="H26" s="369"/>
      <x:c r="I26" s="33"/>
      <x:c r="J26" s="33"/>
      <x:c r="K26" s="33"/>
      <x:c r="L26" s="33"/>
      <x:c r="M26" s="33"/>
      <x:c r="N26" s="33"/>
      <x:c r="O26" s="33"/>
      <x:c r="P26" s="33"/>
      <x:c r="Q26" s="33"/>
    </x:row>
    <x:row r="27">
      <x:c r="D27" s="367"/>
      <x:c r="E27" s="368"/>
      <x:c r="F27" s="368"/>
      <x:c r="G27" s="368"/>
      <x:c r="H27" s="369"/>
      <x:c r="I27" s="33"/>
      <x:c r="J27" s="33"/>
      <x:c r="K27" s="33"/>
      <x:c r="L27" s="33"/>
      <x:c r="M27" s="33"/>
      <x:c r="N27" s="33"/>
      <x:c r="O27" s="33"/>
      <x:c r="P27" s="33"/>
      <x:c r="Q27" s="33"/>
    </x:row>
    <x:row r="28">
      <x:c r="D28" s="370"/>
      <x:c r="E28" s="371"/>
      <x:c r="F28" s="371"/>
      <x:c r="G28" s="371"/>
      <x:c r="H28" s="372"/>
      <x:c r="I28" s="33"/>
      <x:c r="J28" s="33"/>
      <x:c r="K28" s="33"/>
      <x:c r="L28" s="33"/>
      <x:c r="M28" s="33"/>
      <x:c r="N28" s="33"/>
      <x:c r="O28" s="33"/>
      <x:c r="P28" s="33"/>
      <x:c r="Q28" s="33"/>
    </x:row>
    <x:row r="29"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</x:row>
    <x:row r="30"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</x:row>
    <x:row r="31">
      <x:c r="D31" s="33"/>
      <x:c r="E31" s="33"/>
      <x:c r="F31" s="33"/>
      <x:c r="G31" s="33"/>
      <x:c r="H31" s="33"/>
      <x:c r="I31" s="33"/>
      <x:c r="J31" s="388" t="str">
        <x:v>CHECK</x:v>
      </x:c>
      <x:c r="K31" s="389" t="str">
        <x:v>A</x:v>
      </x:c>
      <x:c r="L31" s="389" t="str">
        <x:v>B</x:v>
      </x:c>
      <x:c r="M31" s="389" t="str">
        <x:v>C</x:v>
      </x:c>
      <x:c r="N31" s="390" t="str">
        <x:v>note</x:v>
      </x:c>
      <x:c r="O31" s="33"/>
      <x:c r="P31" s="33"/>
      <x:c r="Q31" s="33"/>
    </x:row>
    <x:row r="32">
      <x:c r="D32" s="33"/>
      <x:c r="E32" s="33"/>
      <x:c r="F32" s="33"/>
      <x:c r="G32" s="33"/>
      <x:c r="H32" s="33"/>
      <x:c r="I32" s="33"/>
      <x:c r="J32" s="32" t="str">
        <x:v>매대가시성</x:v>
      </x:c>
      <x:c r="K32" s="336" t="str">
        <x:v>○</x:v>
      </x:c>
      <x:c r="L32" s="336" t="str">
        <x:v>△</x:v>
      </x:c>
      <x:c r="M32" s="336" t="str">
        <x:v>○</x:v>
      </x:c>
      <x:c r="N32" s="34" t="str"/>
      <x:c r="O32" s="33"/>
      <x:c r="P32" s="33"/>
      <x:c r="Q32" s="33"/>
    </x:row>
    <x:row r="33">
      <x:c r="D33" s="33"/>
      <x:c r="E33" s="33"/>
      <x:c r="F33" s="33"/>
      <x:c r="G33" s="33"/>
      <x:c r="H33" s="33"/>
      <x:c r="I33" s="33"/>
      <x:c r="J33" s="32" t="str">
        <x:v>브랜드기억</x:v>
      </x:c>
      <x:c r="K33" s="336" t="str">
        <x:v>○</x:v>
      </x:c>
      <x:c r="L33" s="336" t="str">
        <x:v>○</x:v>
      </x:c>
      <x:c r="M33" s="336" t="str">
        <x:v>◎</x:v>
      </x:c>
      <x:c r="N33" s="34" t="str"/>
      <x:c r="O33" s="33"/>
      <x:c r="P33" s="33"/>
      <x:c r="Q33" s="33"/>
    </x:row>
    <x:row r="34">
      <x:c r="D34" s="33"/>
      <x:c r="E34" s="33"/>
      <x:c r="F34" s="33"/>
      <x:c r="G34" s="33"/>
      <x:c r="H34" s="33"/>
      <x:c r="I34" s="33"/>
      <x:c r="J34" s="32" t="str">
        <x:v>원가</x:v>
      </x:c>
      <x:c r="K34" s="336" t="str">
        <x:v>◎</x:v>
      </x:c>
      <x:c r="L34" s="336" t="str">
        <x:v>○</x:v>
      </x:c>
      <x:c r="M34" s="336" t="str">
        <x:v>△</x:v>
      </x:c>
      <x:c r="N34" s="34" t="str">
        <x:v>인쇄도수</x:v>
      </x:c>
      <x:c r="O34" s="33"/>
      <x:c r="P34" s="33"/>
      <x:c r="Q34" s="33"/>
    </x:row>
    <x:row r="35">
      <x:c r="D35" s="33"/>
      <x:c r="E35" s="33"/>
      <x:c r="F35" s="33"/>
      <x:c r="G35" s="33"/>
      <x:c r="H35" s="33"/>
      <x:c r="I35" s="33"/>
      <x:c r="J35" s="35" t="str">
        <x:v>최종</x:v>
      </x:c>
      <x:c r="K35" s="36" t="str">
        <x:v>?</x:v>
      </x:c>
      <x:c r="L35" s="36" t="str">
        <x:v>?</x:v>
      </x:c>
      <x:c r="M35" s="36" t="str">
        <x:v>?</x:v>
      </x:c>
      <x:c r="N35" s="37" t="str">
        <x:v>회의필요</x:v>
      </x:c>
      <x:c r="O35" s="33"/>
      <x:c r="P35" s="33"/>
      <x:c r="Q35" s="33"/>
    </x:row>
  </x:sheetData>
  <x:mergeCells>
    <x:mergeCell ref="D3:Q4"/>
    <x:mergeCell ref="D6:H6"/>
    <x:mergeCell ref="D14:H14"/>
    <x:mergeCell ref="D23:H28"/>
  </x:mergeCells>
  <x:pageMargins left="0.7" right="0.7" top="0.75" bottom="0.75" header="0.3" footer="0.3"/>
  <x:drawing xmlns:r="http://schemas.openxmlformats.org/officeDocument/2006/relationships" r:id="Rb1f22f9023934a78"/>
</x:worksheet>
</file>

<file path=xl/worksheets/sheet13.xml><?xml version="1.0" encoding="utf-8"?>
<x:worksheet xmlns:x="http://schemas.openxmlformats.org/spreadsheetml/2006/main">
  <x:sheetFormatPr defaultRowHeight="15"/>
  <x:cols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3">
      <x:c r="B3" s="403" t="str">
        <x:v>구분</x:v>
      </x:c>
      <x:c r="C3" s="404" t="str">
        <x:v>내용</x:v>
      </x:c>
      <x:c r="D3" s="404" t="str">
        <x:v>날짜</x:v>
      </x:c>
      <x:c r="E3" s="404" t="str">
        <x:v>누가</x:v>
      </x:c>
      <x:c r="F3" s="405" t="str">
        <x:v>비고</x:v>
      </x:c>
    </x:row>
    <x:row r="4">
      <x:c r="B4" s="15" t="str">
        <x:v>포장</x:v>
      </x:c>
      <x:c r="C4" s="335" t="str">
        <x:v>샘플 인쇄 3종</x:v>
      </x:c>
      <x:c r="D4" s="335" t="str">
        <x:v>2026-09-18</x:v>
      </x:c>
      <x:c r="E4" s="335" t="str">
        <x:v>박</x:v>
      </x:c>
      <x:c r="F4" s="17" t="str"/>
    </x:row>
    <x:row r="5">
      <x:c r="B5" s="15" t="str">
        <x:v>사진</x:v>
      </x:c>
      <x:c r="C5" s="335" t="str">
        <x:v>SNS 촬영 필요</x:v>
      </x:c>
      <x:c r="D5" s="335" t="str"/>
      <x:c r="E5" s="335" t="str"/>
      <x:c r="F5" s="17" t="str"/>
    </x:row>
    <x:row r="6">
      <x:c r="B6" s="15" t="str">
        <x:v>보류</x:v>
      </x:c>
      <x:c r="C6" s="335" t="str">
        <x:v>라벨 문구 확정 안 됨</x:v>
      </x:c>
      <x:c r="D6" s="335" t="str"/>
      <x:c r="E6" s="335" t="str"/>
      <x:c r="F6" s="17" t="str"/>
    </x:row>
    <x:row r="7">
      <x:c r="B7" s="15" t="str">
        <x:v>재고</x:v>
      </x:c>
      <x:c r="C7" s="335" t="str">
        <x:v>투명봉투 남음</x:v>
      </x:c>
      <x:c r="D7" s="335" t="str">
        <x:v>약 240장</x:v>
      </x:c>
      <x:c r="E7" s="335" t="str"/>
      <x:c r="F7" s="17" t="str"/>
    </x:row>
    <x:row r="8">
      <x:c r="B8" s="18" t="str">
        <x:v>TODO</x:v>
      </x:c>
      <x:c r="C8" s="19" t="str">
        <x:v>단가 다시 확인</x:v>
      </x:c>
      <x:c r="D8" s="19" t="str"/>
      <x:c r="E8" s="19" t="str"/>
      <x:c r="F8" s="20" t="str"/>
    </x:row>
  </x:sheetData>
  <x:pageMargins left="0.7" right="0.7" top="0.75" bottom="0.75" header="0.3" footer="0.3"/>
</x:worksheet>
</file>