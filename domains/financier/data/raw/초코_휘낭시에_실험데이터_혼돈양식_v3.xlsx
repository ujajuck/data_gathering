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d0b3b195a4a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" sheetId="1" r:id="R99d1acf5e1d84a55"/>
    <x:sheet xmlns:r="http://schemas.openxmlformats.org/officeDocument/2006/relationships" name="cost" sheetId="2" r:id="R0e9875c424604825"/>
    <x:sheet xmlns:r="http://schemas.openxmlformats.org/officeDocument/2006/relationships" name="185-test" sheetId="3" r:id="R38f31ef63dee4af4"/>
    <x:sheet xmlns:r="http://schemas.openxmlformats.org/officeDocument/2006/relationships" name="195" sheetId="4" r:id="R71295dd0dd094d77"/>
    <x:sheet xmlns:r="http://schemas.openxmlformats.org/officeDocument/2006/relationships" name="200C-final" sheetId="5" r:id="Rd4c81f435272426a"/>
    <x:sheet xmlns:r="http://schemas.openxmlformats.org/officeDocument/2006/relationships" name="205 dark" sheetId="6" r:id="R2ead4b29cc184997"/>
    <x:sheet xmlns:r="http://schemas.openxmlformats.org/officeDocument/2006/relationships" name="sales+rum" sheetId="7" r:id="R94e99c06044e4545"/>
    <x:sheet xmlns:r="http://schemas.openxmlformats.org/officeDocument/2006/relationships" name="사진참고" sheetId="8" r:id="R1108d293759c4730"/>
    <x:sheet xmlns:r="http://schemas.openxmlformats.org/officeDocument/2006/relationships" name="폐기메모_old" sheetId="9" r:id="R8621142fe5614dd7"/>
    <x:sheet xmlns:r="http://schemas.openxmlformats.org/officeDocument/2006/relationships" name="봉투디자인_부엉이" sheetId="10" r:id="Rec2d39c2b1014207"/>
    <x:sheet xmlns:r="http://schemas.openxmlformats.org/officeDocument/2006/relationships" name="메모_포장외" sheetId="11" r:id="Rbef617e2e64743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i/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color rgb="FFC00000"/>
      <x:name val="Carlito"/>
    </x:font>
    <x:font>
      <x:b/>
      <x:sz val="10"/>
      <x:color rgb="FF000000"/>
      <x:name val="Carlito"/>
    </x:font>
    <x:font>
      <x:b/>
      <x:sz val="14"/>
      <x:color rgb="FFFFFFFF"/>
      <x:name val="Carlito"/>
    </x:font>
    <x:font>
      <x:b/>
      <x:sz val="11"/>
      <x:color rgb="FF5B3A1A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7030A0"/>
      </x:patternFill>
    </x:fill>
    <x:fill>
      <x:patternFill patternType="solid">
        <x:fgColor rgb="FFFFF2CC"/>
      </x:patternFill>
    </x:fill>
    <x:fill>
      <x:patternFill patternType="solid">
        <x:fgColor rgb="FF806000"/>
      </x:patternFill>
    </x:fill>
    <x:fill>
      <x:patternFill patternType="solid">
        <x:fgColor rgb="FFA0522D"/>
      </x:patternFill>
    </x:fill>
    <x:fill>
      <x:patternFill patternType="solid">
        <x:fgColor rgb="FF5B9BD5"/>
      </x:patternFill>
    </x:fill>
    <x:fill>
      <x:patternFill patternType="solid">
        <x:fgColor rgb="FF4472C4"/>
      </x:patternFill>
    </x:fill>
    <x:fill>
      <x:patternFill patternType="solid">
        <x:fgColor rgb="FFC6E0B4"/>
      </x:patternFill>
    </x:fill>
    <x:fill>
      <x:patternFill patternType="solid">
        <x:fgColor rgb="FFFFD966"/>
      </x:patternFill>
    </x:fill>
    <x:fill>
      <x:patternFill patternType="solid">
        <x:fgColor rgb="FFC00000"/>
      </x:patternFill>
    </x:fill>
    <x:fill>
      <x:patternFill patternType="solid">
        <x:fgColor rgb="FF7F7F7F"/>
      </x:patternFill>
    </x:fill>
    <x:fill>
      <x:patternFill patternType="solid">
        <x:fgColor rgb="FF6B4F2A"/>
      </x:patternFill>
    </x:fill>
    <x:fill>
      <x:patternFill patternType="solid">
        <x:fgColor rgb="FFF4E1C1"/>
      </x:patternFill>
    </x:fill>
    <x:fill>
      <x:patternFill patternType="solid">
        <x:fgColor rgb="FFA0522D"/>
      </x:patternFill>
    </x:fill>
    <x:fill>
      <x:patternFill patternType="solid">
        <x:fgColor rgb="FF806000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7F7F7F"/>
      </x:patternFill>
    </x:fill>
  </x:fills>
  <x:borders count="24">
    <x:border/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5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horizontal="center" wrapText="1"/>
    </x:xf>
    <x:xf numFmtId="0" fontId="2" fillId="3" borderId="19" xfId="0" applyNumberFormat="1" applyFont="1" applyFill="1" applyBorder="1" applyAlignment="1">
      <x:alignment horizontal="center" wrapText="1"/>
    </x:xf>
    <x:xf numFmtId="0" fontId="2" fillId="3" borderId="20" xfId="0" applyNumberFormat="1" applyFont="1" applyFill="1" applyBorder="1" applyAlignment="1">
      <x:alignment horizont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2" fillId="3" borderId="2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21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2" fillId="3" borderId="21" xfId="0" applyNumberFormat="1" applyFont="1" applyFill="1" applyBorder="1" applyAlignment="1">
      <x:alignment wrapText="1"/>
    </x:xf>
    <x:xf numFmtId="0" fontId="2" fillId="3" borderId="22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horizontal="center" wrapText="1"/>
    </x:xf>
    <x:xf numFmtId="0" fontId="2" fillId="3" borderId="22" xfId="0" applyNumberFormat="1" applyFont="1" applyFill="1" applyBorder="1" applyAlignment="1">
      <x:alignment horizontal="center" wrapText="1"/>
    </x:xf>
    <x:xf numFmtId="0" fontId="2" fillId="3" borderId="23" xfId="0" applyNumberFormat="1" applyFont="1" applyFill="1" applyBorder="1" applyAlignment="1">
      <x:alignment horizontal="center" wrapText="1"/>
    </x:xf>
    <x:xf numFmtId="0" fontId="2" fillId="3" borderId="21" xfId="0" applyNumberFormat="1" applyFont="1" applyFill="1" applyBorder="1" applyAlignment="1">
      <x:alignment horizontal="center" vertical="center" wrapText="1"/>
    </x:xf>
    <x:xf numFmtId="0" fontId="2" fillId="3" borderId="22" xfId="0" applyNumberFormat="1" applyFont="1" applyFill="1" applyBorder="1" applyAlignment="1">
      <x:alignment horizontal="center" vertical="center" wrapText="1"/>
    </x:xf>
    <x:xf numFmtId="0" fontId="2" fillId="3" borderId="2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8" xfId="0" applyNumberFormat="1" applyFont="1" applyFill="1" applyBorder="1"/>
    <x:xf numFmtId="0" fontId="2" fillId="6" borderId="19" xfId="0" applyNumberFormat="1" applyFont="1" applyFill="1" applyBorder="1"/>
    <x:xf numFmtId="0" fontId="2" fillId="6" borderId="20" xfId="0" applyNumberFormat="1" applyFont="1" applyFill="1" applyBorder="1"/>
    <x:xf numFmtId="0" fontId="2" fillId="6" borderId="18" xfId="0" applyNumberFormat="1" applyFont="1" applyFill="1" applyBorder="1" applyAlignment="1">
      <x:alignment wrapText="1"/>
    </x:xf>
    <x:xf numFmtId="0" fontId="2" fillId="6" borderId="19" xfId="0" applyNumberFormat="1" applyFont="1" applyFill="1" applyBorder="1" applyAlignment="1">
      <x:alignment wrapText="1"/>
    </x:xf>
    <x:xf numFmtId="0" fontId="2" fillId="6" borderId="20" xfId="0" applyNumberFormat="1" applyFont="1" applyFill="1" applyBorder="1" applyAlignment="1">
      <x:alignment wrapText="1"/>
    </x:xf>
    <x:xf numFmtId="0" fontId="2" fillId="6" borderId="18" xfId="0" applyNumberFormat="1" applyFont="1" applyFill="1" applyBorder="1" applyAlignment="1">
      <x:alignment horizontal="center" wrapText="1"/>
    </x:xf>
    <x:xf numFmtId="0" fontId="2" fillId="6" borderId="19" xfId="0" applyNumberFormat="1" applyFont="1" applyFill="1" applyBorder="1" applyAlignment="1">
      <x:alignment horizontal="center" wrapText="1"/>
    </x:xf>
    <x:xf numFmtId="0" fontId="2" fillId="6" borderId="20" xfId="0" applyNumberFormat="1" applyFont="1" applyFill="1" applyBorder="1" applyAlignment="1">
      <x:alignment horizontal="center" wrapText="1"/>
    </x:xf>
    <x:xf numFmtId="0" fontId="2" fillId="6" borderId="18" xfId="0" applyNumberFormat="1" applyFont="1" applyFill="1" applyBorder="1" applyAlignment="1">
      <x:alignment horizontal="center" vertical="center" wrapText="1"/>
    </x:xf>
    <x:xf numFmtId="0" fontId="2" fillId="6" borderId="19" xfId="0" applyNumberFormat="1" applyFont="1" applyFill="1" applyBorder="1" applyAlignment="1">
      <x:alignment horizontal="center" vertical="center" wrapText="1"/>
    </x:xf>
    <x:xf numFmtId="0" fontId="2" fillId="6" borderId="2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21" xfId="0" applyNumberFormat="1" applyFont="1" applyFill="1" applyBorder="1"/>
    <x:xf numFmtId="0" fontId="2" fillId="6" borderId="22" xfId="0" applyNumberFormat="1" applyFont="1" applyFill="1" applyBorder="1"/>
    <x:xf numFmtId="0" fontId="2" fillId="6" borderId="23" xfId="0" applyNumberFormat="1" applyFont="1" applyFill="1" applyBorder="1"/>
    <x:xf numFmtId="0" fontId="2" fillId="6" borderId="21" xfId="0" applyNumberFormat="1" applyFont="1" applyFill="1" applyBorder="1" applyAlignment="1">
      <x:alignment wrapText="1"/>
    </x:xf>
    <x:xf numFmtId="0" fontId="2" fillId="6" borderId="22" xfId="0" applyNumberFormat="1" applyFont="1" applyFill="1" applyBorder="1" applyAlignment="1">
      <x:alignment wrapText="1"/>
    </x:xf>
    <x:xf numFmtId="0" fontId="2" fillId="6" borderId="23" xfId="0" applyNumberFormat="1" applyFont="1" applyFill="1" applyBorder="1" applyAlignment="1">
      <x:alignment wrapText="1"/>
    </x:xf>
    <x:xf numFmtId="0" fontId="2" fillId="6" borderId="21" xfId="0" applyNumberFormat="1" applyFont="1" applyFill="1" applyBorder="1" applyAlignment="1">
      <x:alignment horizontal="center" wrapText="1"/>
    </x:xf>
    <x:xf numFmtId="0" fontId="2" fillId="6" borderId="22" xfId="0" applyNumberFormat="1" applyFont="1" applyFill="1" applyBorder="1" applyAlignment="1">
      <x:alignment horizontal="center" wrapText="1"/>
    </x:xf>
    <x:xf numFmtId="0" fontId="2" fillId="6" borderId="23" xfId="0" applyNumberFormat="1" applyFont="1" applyFill="1" applyBorder="1" applyAlignment="1">
      <x:alignment horizontal="center" wrapText="1"/>
    </x:xf>
    <x:xf numFmtId="0" fontId="2" fillId="6" borderId="21" xfId="0" applyNumberFormat="1" applyFont="1" applyFill="1" applyBorder="1" applyAlignment="1">
      <x:alignment horizontal="center" vertical="center" wrapText="1"/>
    </x:xf>
    <x:xf numFmtId="0" fontId="2" fillId="6" borderId="22" xfId="0" applyNumberFormat="1" applyFont="1" applyFill="1" applyBorder="1" applyAlignment="1">
      <x:alignment horizontal="center" vertical="center" wrapText="1"/>
    </x:xf>
    <x:xf numFmtId="0" fontId="2" fillId="6" borderId="2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horizontal="center" wrapText="1"/>
    </x:xf>
    <x:xf numFmtId="0" fontId="4" fillId="7" borderId="3" xfId="0" applyNumberFormat="1" applyFont="1" applyFill="1" applyBorder="1" applyAlignment="1">
      <x:alignment horizontal="center" wrapText="1"/>
    </x:xf>
    <x:xf numFmtId="0" fontId="4" fillId="7" borderId="4" xfId="0" applyNumberFormat="1" applyFont="1" applyFill="1" applyBorder="1" applyAlignment="1">
      <x:alignment horizontal="center" wrapText="1"/>
    </x:xf>
    <x:xf numFmtId="0" fontId="4" fillId="7" borderId="7" xfId="0" applyNumberFormat="1" applyFont="1" applyFill="1" applyBorder="1" applyAlignment="1">
      <x:alignment horizontal="center" wrapText="1"/>
    </x:xf>
    <x:xf numFmtId="0" fontId="4" fillId="7" borderId="8" xfId="0" applyNumberFormat="1" applyFont="1" applyFill="1" applyBorder="1" applyAlignment="1">
      <x:alignment horizontal="center" wrapText="1"/>
    </x:xf>
    <x:xf numFmtId="0" fontId="4" fillId="7" borderId="9" xfId="0" applyNumberFormat="1" applyFont="1" applyFill="1" applyBorder="1" applyAlignment="1">
      <x:alignment horizont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7" xfId="0" applyNumberFormat="1" applyFont="1" applyFill="1" applyBorder="1" applyAlignment="1">
      <x:alignment horizontal="center" vertical="center" wrapText="1"/>
    </x:xf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15" xfId="0" applyNumberFormat="1" applyFont="1" applyFill="1" applyBorder="1"/>
    <x:xf numFmtId="0" fontId="4" fillId="7" borderId="16" xfId="0" applyNumberFormat="1" applyFont="1" applyFill="1" applyBorder="1"/>
    <x:xf numFmtId="0" fontId="4" fillId="7" borderId="17" xfId="0" applyNumberFormat="1" applyFont="1" applyFill="1" applyBorder="1"/>
    <x:xf numFmtId="0" fontId="4" fillId="7" borderId="10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15" xfId="0" applyNumberFormat="1" applyFont="1" applyFill="1" applyBorder="1" applyAlignment="1">
      <x:alignment wrapText="1"/>
    </x:xf>
    <x:xf numFmtId="0" fontId="4" fillId="7" borderId="16" xfId="0" applyNumberFormat="1" applyFont="1" applyFill="1" applyBorder="1" applyAlignment="1">
      <x:alignment wrapText="1"/>
    </x:xf>
    <x:xf numFmtId="0" fontId="4" fillId="7" borderId="17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horizontal="center" wrapText="1"/>
    </x:xf>
    <x:xf numFmtId="0" fontId="4" fillId="7" borderId="11" xfId="0" applyNumberFormat="1" applyFont="1" applyFill="1" applyBorder="1" applyAlignment="1">
      <x:alignment horizontal="center" wrapText="1"/>
    </x:xf>
    <x:xf numFmtId="0" fontId="4" fillId="7" borderId="12" xfId="0" applyNumberFormat="1" applyFont="1" applyFill="1" applyBorder="1" applyAlignment="1">
      <x:alignment horizontal="center" wrapText="1"/>
    </x:xf>
    <x:xf numFmtId="0" fontId="4" fillId="7" borderId="15" xfId="0" applyNumberFormat="1" applyFont="1" applyFill="1" applyBorder="1" applyAlignment="1">
      <x:alignment horizontal="center" wrapText="1"/>
    </x:xf>
    <x:xf numFmtId="0" fontId="4" fillId="7" borderId="16" xfId="0" applyNumberFormat="1" applyFont="1" applyFill="1" applyBorder="1" applyAlignment="1">
      <x:alignment horizontal="center" wrapText="1"/>
    </x:xf>
    <x:xf numFmtId="0" fontId="4" fillId="7" borderId="17" xfId="0" applyNumberFormat="1" applyFont="1" applyFill="1" applyBorder="1" applyAlignment="1">
      <x:alignment horizontal="center" wrapText="1"/>
    </x:xf>
    <x:xf numFmtId="0" fontId="4" fillId="7" borderId="10" xfId="0" applyNumberFormat="1" applyFont="1" applyFill="1" applyBorder="1" applyAlignment="1">
      <x:alignment horizontal="center"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12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horizontal="center" vertical="center" wrapText="1"/>
    </x:xf>
    <x:xf numFmtId="0" fontId="4" fillId="7" borderId="16" xfId="0" applyNumberFormat="1" applyFont="1" applyFill="1" applyBorder="1" applyAlignment="1">
      <x:alignment horizontal="center" vertical="center" wrapText="1"/>
    </x:xf>
    <x:xf numFmtId="0" fontId="4" fillId="7" borderId="1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8" xfId="0" applyNumberFormat="1" applyFont="1" applyFill="1" applyBorder="1"/>
    <x:xf numFmtId="0" fontId="2" fillId="8" borderId="19" xfId="0" applyNumberFormat="1" applyFont="1" applyFill="1" applyBorder="1"/>
    <x:xf numFmtId="0" fontId="2" fillId="8" borderId="20" xfId="0" applyNumberFormat="1" applyFont="1" applyFill="1" applyBorder="1"/>
    <x:xf numFmtId="0" fontId="2" fillId="8" borderId="18" xfId="0" applyNumberFormat="1" applyFont="1" applyFill="1" applyBorder="1" applyAlignment="1">
      <x:alignment wrapText="1"/>
    </x:xf>
    <x:xf numFmtId="0" fontId="2" fillId="8" borderId="19" xfId="0" applyNumberFormat="1" applyFont="1" applyFill="1" applyBorder="1" applyAlignment="1">
      <x:alignment wrapText="1"/>
    </x:xf>
    <x:xf numFmtId="0" fontId="2" fillId="8" borderId="20" xfId="0" applyNumberFormat="1" applyFont="1" applyFill="1" applyBorder="1" applyAlignment="1">
      <x:alignment wrapText="1"/>
    </x:xf>
    <x:xf numFmtId="0" fontId="2" fillId="8" borderId="18" xfId="0" applyNumberFormat="1" applyFont="1" applyFill="1" applyBorder="1" applyAlignment="1">
      <x:alignment horizontal="center" wrapText="1"/>
    </x:xf>
    <x:xf numFmtId="0" fontId="2" fillId="8" borderId="19" xfId="0" applyNumberFormat="1" applyFont="1" applyFill="1" applyBorder="1" applyAlignment="1">
      <x:alignment horizontal="center" wrapText="1"/>
    </x:xf>
    <x:xf numFmtId="0" fontId="2" fillId="8" borderId="20" xfId="0" applyNumberFormat="1" applyFont="1" applyFill="1" applyBorder="1" applyAlignment="1">
      <x:alignment horizontal="center" wrapText="1"/>
    </x:xf>
    <x:xf numFmtId="0" fontId="2" fillId="8" borderId="18" xfId="0" applyNumberFormat="1" applyFont="1" applyFill="1" applyBorder="1" applyAlignment="1">
      <x:alignment horizontal="center" vertical="center" wrapText="1"/>
    </x:xf>
    <x:xf numFmtId="0" fontId="2" fillId="8" borderId="19" xfId="0" applyNumberFormat="1" applyFont="1" applyFill="1" applyBorder="1" applyAlignment="1">
      <x:alignment horizontal="center" vertical="center" wrapText="1"/>
    </x:xf>
    <x:xf numFmtId="0" fontId="2" fillId="8" borderId="2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21" xfId="0" applyNumberFormat="1" applyFont="1" applyFill="1" applyBorder="1"/>
    <x:xf numFmtId="0" fontId="2" fillId="8" borderId="22" xfId="0" applyNumberFormat="1" applyFont="1" applyFill="1" applyBorder="1"/>
    <x:xf numFmtId="0" fontId="2" fillId="8" borderId="23" xfId="0" applyNumberFormat="1" applyFont="1" applyFill="1" applyBorder="1"/>
    <x:xf numFmtId="0" fontId="2" fillId="8" borderId="21" xfId="0" applyNumberFormat="1" applyFont="1" applyFill="1" applyBorder="1" applyAlignment="1">
      <x:alignment wrapText="1"/>
    </x:xf>
    <x:xf numFmtId="0" fontId="2" fillId="8" borderId="22" xfId="0" applyNumberFormat="1" applyFont="1" applyFill="1" applyBorder="1" applyAlignment="1">
      <x:alignment wrapText="1"/>
    </x:xf>
    <x:xf numFmtId="0" fontId="2" fillId="8" borderId="23" xfId="0" applyNumberFormat="1" applyFont="1" applyFill="1" applyBorder="1" applyAlignment="1">
      <x:alignment wrapText="1"/>
    </x:xf>
    <x:xf numFmtId="0" fontId="2" fillId="8" borderId="21" xfId="0" applyNumberFormat="1" applyFont="1" applyFill="1" applyBorder="1" applyAlignment="1">
      <x:alignment horizontal="center" wrapText="1"/>
    </x:xf>
    <x:xf numFmtId="0" fontId="2" fillId="8" borderId="22" xfId="0" applyNumberFormat="1" applyFont="1" applyFill="1" applyBorder="1" applyAlignment="1">
      <x:alignment horizontal="center" wrapText="1"/>
    </x:xf>
    <x:xf numFmtId="0" fontId="2" fillId="8" borderId="23" xfId="0" applyNumberFormat="1" applyFont="1" applyFill="1" applyBorder="1" applyAlignment="1">
      <x:alignment horizontal="center" wrapText="1"/>
    </x:xf>
    <x:xf numFmtId="0" fontId="2" fillId="8" borderId="21" xfId="0" applyNumberFormat="1" applyFont="1" applyFill="1" applyBorder="1" applyAlignment="1">
      <x:alignment horizontal="center" vertical="center" wrapText="1"/>
    </x:xf>
    <x:xf numFmtId="0" fontId="2" fillId="8" borderId="22" xfId="0" applyNumberFormat="1" applyFont="1" applyFill="1" applyBorder="1" applyAlignment="1">
      <x:alignment horizontal="center" vertical="center" wrapText="1"/>
    </x:xf>
    <x:xf numFmtId="0" fontId="2" fillId="8" borderId="23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18" xfId="0" applyNumberFormat="1" applyFont="1" applyFill="1" applyBorder="1"/>
    <x:xf numFmtId="0" fontId="6" fillId="9" borderId="19" xfId="0" applyNumberFormat="1" applyFont="1" applyFill="1" applyBorder="1"/>
    <x:xf numFmtId="0" fontId="6" fillId="9" borderId="20" xfId="0" applyNumberFormat="1" applyFont="1" applyFill="1" applyBorder="1"/>
    <x:xf numFmtId="0" fontId="6" fillId="9" borderId="18" xfId="0" applyNumberFormat="1" applyFont="1" applyFill="1" applyBorder="1" applyAlignment="1">
      <x:alignment wrapText="1"/>
    </x:xf>
    <x:xf numFmtId="0" fontId="6" fillId="9" borderId="19" xfId="0" applyNumberFormat="1" applyFont="1" applyFill="1" applyBorder="1" applyAlignment="1">
      <x:alignment wrapText="1"/>
    </x:xf>
    <x:xf numFmtId="0" fontId="6" fillId="9" borderId="20" xfId="0" applyNumberFormat="1" applyFont="1" applyFill="1" applyBorder="1" applyAlignment="1">
      <x:alignment wrapText="1"/>
    </x:xf>
    <x:xf numFmtId="0" fontId="6" fillId="9" borderId="18" xfId="0" applyNumberFormat="1" applyFont="1" applyFill="1" applyBorder="1" applyAlignment="1">
      <x:alignment horizontal="center" wrapText="1"/>
    </x:xf>
    <x:xf numFmtId="0" fontId="6" fillId="9" borderId="19" xfId="0" applyNumberFormat="1" applyFont="1" applyFill="1" applyBorder="1" applyAlignment="1">
      <x:alignment horizontal="center" wrapText="1"/>
    </x:xf>
    <x:xf numFmtId="0" fontId="6" fillId="9" borderId="20" xfId="0" applyNumberFormat="1" applyFont="1" applyFill="1" applyBorder="1" applyAlignment="1">
      <x:alignment horizontal="center" wrapText="1"/>
    </x:xf>
    <x:xf numFmtId="0" fontId="6" fillId="9" borderId="18" xfId="0" applyNumberFormat="1" applyFont="1" applyFill="1" applyBorder="1" applyAlignment="1">
      <x:alignment horizontal="center" vertical="center" wrapText="1"/>
    </x:xf>
    <x:xf numFmtId="0" fontId="6" fillId="9" borderId="19" xfId="0" applyNumberFormat="1" applyFont="1" applyFill="1" applyBorder="1" applyAlignment="1">
      <x:alignment horizontal="center" vertical="center" wrapText="1"/>
    </x:xf>
    <x:xf numFmtId="0" fontId="6" fillId="9" borderId="2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21" xfId="0" applyNumberFormat="1" applyFont="1" applyFill="1" applyBorder="1"/>
    <x:xf numFmtId="0" fontId="6" fillId="9" borderId="22" xfId="0" applyNumberFormat="1" applyFont="1" applyFill="1" applyBorder="1"/>
    <x:xf numFmtId="0" fontId="6" fillId="9" borderId="23" xfId="0" applyNumberFormat="1" applyFont="1" applyFill="1" applyBorder="1"/>
    <x:xf numFmtId="0" fontId="6" fillId="9" borderId="21" xfId="0" applyNumberFormat="1" applyFont="1" applyFill="1" applyBorder="1" applyAlignment="1">
      <x:alignment wrapText="1"/>
    </x:xf>
    <x:xf numFmtId="0" fontId="6" fillId="9" borderId="22" xfId="0" applyNumberFormat="1" applyFont="1" applyFill="1" applyBorder="1" applyAlignment="1">
      <x:alignment wrapText="1"/>
    </x:xf>
    <x:xf numFmtId="0" fontId="6" fillId="9" borderId="23" xfId="0" applyNumberFormat="1" applyFont="1" applyFill="1" applyBorder="1" applyAlignment="1">
      <x:alignment wrapText="1"/>
    </x:xf>
    <x:xf numFmtId="0" fontId="6" fillId="9" borderId="21" xfId="0" applyNumberFormat="1" applyFont="1" applyFill="1" applyBorder="1" applyAlignment="1">
      <x:alignment horizontal="center" wrapText="1"/>
    </x:xf>
    <x:xf numFmtId="0" fontId="6" fillId="9" borderId="22" xfId="0" applyNumberFormat="1" applyFont="1" applyFill="1" applyBorder="1" applyAlignment="1">
      <x:alignment horizontal="center" wrapText="1"/>
    </x:xf>
    <x:xf numFmtId="0" fontId="6" fillId="9" borderId="23" xfId="0" applyNumberFormat="1" applyFont="1" applyFill="1" applyBorder="1" applyAlignment="1">
      <x:alignment horizontal="center" wrapText="1"/>
    </x:xf>
    <x:xf numFmtId="0" fontId="6" fillId="9" borderId="21" xfId="0" applyNumberFormat="1" applyFont="1" applyFill="1" applyBorder="1" applyAlignment="1">
      <x:alignment horizontal="center" vertical="center" wrapText="1"/>
    </x:xf>
    <x:xf numFmtId="0" fontId="6" fillId="9" borderId="22" xfId="0" applyNumberFormat="1" applyFont="1" applyFill="1" applyBorder="1" applyAlignment="1">
      <x:alignment horizontal="center" vertical="center" wrapText="1"/>
    </x:xf>
    <x:xf numFmtId="0" fontId="6" fillId="9" borderId="23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18" xfId="0" applyNumberFormat="1" applyFont="1" applyFill="1" applyBorder="1"/>
    <x:xf numFmtId="0" fontId="6" fillId="10" borderId="19" xfId="0" applyNumberFormat="1" applyFont="1" applyFill="1" applyBorder="1"/>
    <x:xf numFmtId="0" fontId="6" fillId="10" borderId="20" xfId="0" applyNumberFormat="1" applyFont="1" applyFill="1" applyBorder="1"/>
    <x:xf numFmtId="0" fontId="6" fillId="10" borderId="18" xfId="0" applyNumberFormat="1" applyFont="1" applyFill="1" applyBorder="1" applyAlignment="1">
      <x:alignment wrapText="1"/>
    </x:xf>
    <x:xf numFmtId="0" fontId="6" fillId="10" borderId="19" xfId="0" applyNumberFormat="1" applyFont="1" applyFill="1" applyBorder="1" applyAlignment="1">
      <x:alignment wrapText="1"/>
    </x:xf>
    <x:xf numFmtId="0" fontId="6" fillId="10" borderId="20" xfId="0" applyNumberFormat="1" applyFont="1" applyFill="1" applyBorder="1" applyAlignment="1">
      <x:alignment wrapText="1"/>
    </x:xf>
    <x:xf numFmtId="0" fontId="6" fillId="10" borderId="18" xfId="0" applyNumberFormat="1" applyFont="1" applyFill="1" applyBorder="1" applyAlignment="1">
      <x:alignment horizontal="center" wrapText="1"/>
    </x:xf>
    <x:xf numFmtId="0" fontId="6" fillId="10" borderId="19" xfId="0" applyNumberFormat="1" applyFont="1" applyFill="1" applyBorder="1" applyAlignment="1">
      <x:alignment horizontal="center" wrapText="1"/>
    </x:xf>
    <x:xf numFmtId="0" fontId="6" fillId="10" borderId="20" xfId="0" applyNumberFormat="1" applyFont="1" applyFill="1" applyBorder="1" applyAlignment="1">
      <x:alignment horizontal="center" wrapText="1"/>
    </x:xf>
    <x:xf numFmtId="0" fontId="6" fillId="10" borderId="18" xfId="0" applyNumberFormat="1" applyFont="1" applyFill="1" applyBorder="1" applyAlignment="1">
      <x:alignment horizontal="center" vertical="center" wrapText="1"/>
    </x:xf>
    <x:xf numFmtId="0" fontId="6" fillId="10" borderId="19" xfId="0" applyNumberFormat="1" applyFont="1" applyFill="1" applyBorder="1" applyAlignment="1">
      <x:alignment horizontal="center" vertical="center" wrapText="1"/>
    </x:xf>
    <x:xf numFmtId="0" fontId="6" fillId="10" borderId="2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6" fillId="10" borderId="1" xfId="0" applyNumberFormat="1" applyFont="1" applyFill="1" applyBorder="1"/>
    <x:xf numFmtId="0" fontId="6" fillId="10" borderId="21" xfId="0" applyNumberFormat="1" applyFont="1" applyFill="1" applyBorder="1"/>
    <x:xf numFmtId="0" fontId="6" fillId="10" borderId="22" xfId="0" applyNumberFormat="1" applyFont="1" applyFill="1" applyBorder="1"/>
    <x:xf numFmtId="0" fontId="6" fillId="10" borderId="23" xfId="0" applyNumberFormat="1" applyFont="1" applyFill="1" applyBorder="1"/>
    <x:xf numFmtId="0" fontId="6" fillId="10" borderId="21" xfId="0" applyNumberFormat="1" applyFont="1" applyFill="1" applyBorder="1" applyAlignment="1">
      <x:alignment wrapText="1"/>
    </x:xf>
    <x:xf numFmtId="0" fontId="6" fillId="10" borderId="22" xfId="0" applyNumberFormat="1" applyFont="1" applyFill="1" applyBorder="1" applyAlignment="1">
      <x:alignment wrapText="1"/>
    </x:xf>
    <x:xf numFmtId="0" fontId="6" fillId="10" borderId="23" xfId="0" applyNumberFormat="1" applyFont="1" applyFill="1" applyBorder="1" applyAlignment="1">
      <x:alignment wrapText="1"/>
    </x:xf>
    <x:xf numFmtId="0" fontId="6" fillId="10" borderId="21" xfId="0" applyNumberFormat="1" applyFont="1" applyFill="1" applyBorder="1" applyAlignment="1">
      <x:alignment horizontal="center" wrapText="1"/>
    </x:xf>
    <x:xf numFmtId="0" fontId="6" fillId="10" borderId="22" xfId="0" applyNumberFormat="1" applyFont="1" applyFill="1" applyBorder="1" applyAlignment="1">
      <x:alignment horizontal="center" wrapText="1"/>
    </x:xf>
    <x:xf numFmtId="0" fontId="6" fillId="10" borderId="23" xfId="0" applyNumberFormat="1" applyFont="1" applyFill="1" applyBorder="1" applyAlignment="1">
      <x:alignment horizontal="center" wrapText="1"/>
    </x:xf>
    <x:xf numFmtId="0" fontId="6" fillId="10" borderId="21" xfId="0" applyNumberFormat="1" applyFont="1" applyFill="1" applyBorder="1" applyAlignment="1">
      <x:alignment horizontal="center" vertical="center" wrapText="1"/>
    </x:xf>
    <x:xf numFmtId="0" fontId="6" fillId="10" borderId="22" xfId="0" applyNumberFormat="1" applyFont="1" applyFill="1" applyBorder="1" applyAlignment="1">
      <x:alignment horizontal="center" vertical="center" wrapText="1"/>
    </x:xf>
    <x:xf numFmtId="0" fontId="6" fillId="10" borderId="23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2" xfId="0" applyNumberFormat="1" applyFont="1" applyFill="1" applyBorder="1"/>
    <x:xf numFmtId="0" fontId="4" fillId="11" borderId="3" xfId="0" applyNumberFormat="1" applyFont="1" applyFill="1" applyBorder="1"/>
    <x:xf numFmtId="0" fontId="4" fillId="11" borderId="4" xfId="0" applyNumberFormat="1" applyFont="1" applyFill="1" applyBorder="1"/>
    <x:xf numFmtId="0" fontId="4" fillId="11" borderId="7" xfId="0" applyNumberFormat="1" applyFont="1" applyFill="1" applyBorder="1"/>
    <x:xf numFmtId="0" fontId="4" fillId="11" borderId="8" xfId="0" applyNumberFormat="1" applyFont="1" applyFill="1" applyBorder="1"/>
    <x:xf numFmtId="0" fontId="4" fillId="11" borderId="9" xfId="0" applyNumberFormat="1" applyFont="1" applyFill="1" applyBorder="1"/>
    <x:xf numFmtId="0" fontId="4" fillId="11" borderId="2" xfId="0" applyNumberFormat="1" applyFont="1" applyFill="1" applyBorder="1" applyAlignment="1">
      <x:alignment wrapText="1"/>
    </x:xf>
    <x:xf numFmtId="0" fontId="4" fillId="11" borderId="3" xfId="0" applyNumberFormat="1" applyFont="1" applyFill="1" applyBorder="1" applyAlignment="1">
      <x:alignment wrapText="1"/>
    </x:xf>
    <x:xf numFmtId="0" fontId="4" fillId="11" borderId="4" xfId="0" applyNumberFormat="1" applyFont="1" applyFill="1" applyBorder="1" applyAlignment="1">
      <x:alignment wrapText="1"/>
    </x:xf>
    <x:xf numFmtId="0" fontId="4" fillId="11" borderId="7" xfId="0" applyNumberFormat="1" applyFont="1" applyFill="1" applyBorder="1" applyAlignment="1">
      <x:alignment wrapText="1"/>
    </x:xf>
    <x:xf numFmtId="0" fontId="4" fillId="11" borderId="8" xfId="0" applyNumberFormat="1" applyFont="1" applyFill="1" applyBorder="1" applyAlignment="1">
      <x:alignment wrapText="1"/>
    </x:xf>
    <x:xf numFmtId="0" fontId="4" fillId="11" borderId="9" xfId="0" applyNumberFormat="1" applyFont="1" applyFill="1" applyBorder="1" applyAlignment="1">
      <x:alignment wrapText="1"/>
    </x:xf>
    <x:xf numFmtId="0" fontId="4" fillId="11" borderId="2" xfId="0" applyNumberFormat="1" applyFont="1" applyFill="1" applyBorder="1" applyAlignment="1">
      <x:alignment horizontal="center" wrapText="1"/>
    </x:xf>
    <x:xf numFmtId="0" fontId="4" fillId="11" borderId="3" xfId="0" applyNumberFormat="1" applyFont="1" applyFill="1" applyBorder="1" applyAlignment="1">
      <x:alignment horizontal="center" wrapText="1"/>
    </x:xf>
    <x:xf numFmtId="0" fontId="4" fillId="11" borderId="4" xfId="0" applyNumberFormat="1" applyFont="1" applyFill="1" applyBorder="1" applyAlignment="1">
      <x:alignment horizontal="center" wrapText="1"/>
    </x:xf>
    <x:xf numFmtId="0" fontId="4" fillId="11" borderId="7" xfId="0" applyNumberFormat="1" applyFont="1" applyFill="1" applyBorder="1" applyAlignment="1">
      <x:alignment horizontal="center" wrapText="1"/>
    </x:xf>
    <x:xf numFmtId="0" fontId="4" fillId="11" borderId="8" xfId="0" applyNumberFormat="1" applyFont="1" applyFill="1" applyBorder="1" applyAlignment="1">
      <x:alignment horizontal="center" wrapText="1"/>
    </x:xf>
    <x:xf numFmtId="0" fontId="4" fillId="11" borderId="9" xfId="0" applyNumberFormat="1" applyFont="1" applyFill="1" applyBorder="1" applyAlignment="1">
      <x:alignment horizontal="center" wrapText="1"/>
    </x:xf>
    <x:xf numFmtId="0" fontId="4" fillId="11" borderId="2" xfId="0" applyNumberFormat="1" applyFont="1" applyFill="1" applyBorder="1" applyAlignment="1">
      <x:alignment horizontal="center" vertical="center" wrapText="1"/>
    </x:xf>
    <x:xf numFmtId="0" fontId="4" fillId="11" borderId="3" xfId="0" applyNumberFormat="1" applyFont="1" applyFill="1" applyBorder="1" applyAlignment="1">
      <x:alignment horizontal="center" vertical="center" wrapText="1"/>
    </x:xf>
    <x:xf numFmtId="0" fontId="4" fillId="11" borderId="4" xfId="0" applyNumberFormat="1" applyFont="1" applyFill="1" applyBorder="1" applyAlignment="1">
      <x:alignment horizontal="center" vertical="center" wrapText="1"/>
    </x:xf>
    <x:xf numFmtId="0" fontId="4" fillId="11" borderId="7" xfId="0" applyNumberFormat="1" applyFont="1" applyFill="1" applyBorder="1" applyAlignment="1">
      <x:alignment horizontal="center" vertical="center" wrapText="1"/>
    </x:xf>
    <x:xf numFmtId="0" fontId="4" fillId="11" borderId="8" xfId="0" applyNumberFormat="1" applyFont="1" applyFill="1" applyBorder="1" applyAlignment="1">
      <x:alignment horizontal="center" vertical="center" wrapText="1"/>
    </x:xf>
    <x:xf numFmtId="0" fontId="4" fillId="11" borderId="9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10" xfId="0" applyNumberFormat="1" applyFont="1" applyFill="1" applyBorder="1"/>
    <x:xf numFmtId="0" fontId="4" fillId="11" borderId="11" xfId="0" applyNumberFormat="1" applyFont="1" applyFill="1" applyBorder="1"/>
    <x:xf numFmtId="0" fontId="4" fillId="11" borderId="12" xfId="0" applyNumberFormat="1" applyFont="1" applyFill="1" applyBorder="1"/>
    <x:xf numFmtId="0" fontId="4" fillId="11" borderId="15" xfId="0" applyNumberFormat="1" applyFont="1" applyFill="1" applyBorder="1"/>
    <x:xf numFmtId="0" fontId="4" fillId="11" borderId="16" xfId="0" applyNumberFormat="1" applyFont="1" applyFill="1" applyBorder="1"/>
    <x:xf numFmtId="0" fontId="4" fillId="11" borderId="17" xfId="0" applyNumberFormat="1" applyFont="1" applyFill="1" applyBorder="1"/>
    <x:xf numFmtId="0" fontId="4" fillId="11" borderId="10" xfId="0" applyNumberFormat="1" applyFont="1" applyFill="1" applyBorder="1" applyAlignment="1">
      <x:alignment wrapText="1"/>
    </x:xf>
    <x:xf numFmtId="0" fontId="4" fillId="11" borderId="11" xfId="0" applyNumberFormat="1" applyFont="1" applyFill="1" applyBorder="1" applyAlignment="1">
      <x:alignment wrapText="1"/>
    </x:xf>
    <x:xf numFmtId="0" fontId="4" fillId="11" borderId="12" xfId="0" applyNumberFormat="1" applyFont="1" applyFill="1" applyBorder="1" applyAlignment="1">
      <x:alignment wrapText="1"/>
    </x:xf>
    <x:xf numFmtId="0" fontId="4" fillId="11" borderId="15" xfId="0" applyNumberFormat="1" applyFont="1" applyFill="1" applyBorder="1" applyAlignment="1">
      <x:alignment wrapText="1"/>
    </x:xf>
    <x:xf numFmtId="0" fontId="4" fillId="11" borderId="16" xfId="0" applyNumberFormat="1" applyFont="1" applyFill="1" applyBorder="1" applyAlignment="1">
      <x:alignment wrapText="1"/>
    </x:xf>
    <x:xf numFmtId="0" fontId="4" fillId="11" borderId="17" xfId="0" applyNumberFormat="1" applyFont="1" applyFill="1" applyBorder="1" applyAlignment="1">
      <x:alignment wrapText="1"/>
    </x:xf>
    <x:xf numFmtId="0" fontId="4" fillId="11" borderId="10" xfId="0" applyNumberFormat="1" applyFont="1" applyFill="1" applyBorder="1" applyAlignment="1">
      <x:alignment horizontal="center" wrapText="1"/>
    </x:xf>
    <x:xf numFmtId="0" fontId="4" fillId="11" borderId="11" xfId="0" applyNumberFormat="1" applyFont="1" applyFill="1" applyBorder="1" applyAlignment="1">
      <x:alignment horizontal="center" wrapText="1"/>
    </x:xf>
    <x:xf numFmtId="0" fontId="4" fillId="11" borderId="12" xfId="0" applyNumberFormat="1" applyFont="1" applyFill="1" applyBorder="1" applyAlignment="1">
      <x:alignment horizontal="center" wrapText="1"/>
    </x:xf>
    <x:xf numFmtId="0" fontId="4" fillId="11" borderId="15" xfId="0" applyNumberFormat="1" applyFont="1" applyFill="1" applyBorder="1" applyAlignment="1">
      <x:alignment horizontal="center" wrapText="1"/>
    </x:xf>
    <x:xf numFmtId="0" fontId="4" fillId="11" borderId="16" xfId="0" applyNumberFormat="1" applyFont="1" applyFill="1" applyBorder="1" applyAlignment="1">
      <x:alignment horizontal="center" wrapText="1"/>
    </x:xf>
    <x:xf numFmtId="0" fontId="4" fillId="11" borderId="17" xfId="0" applyNumberFormat="1" applyFont="1" applyFill="1" applyBorder="1" applyAlignment="1">
      <x:alignment horizontal="center" wrapText="1"/>
    </x:xf>
    <x:xf numFmtId="0" fontId="4" fillId="11" borderId="10" xfId="0" applyNumberFormat="1" applyFont="1" applyFill="1" applyBorder="1" applyAlignment="1">
      <x:alignment horizontal="center" vertical="center" wrapText="1"/>
    </x:xf>
    <x:xf numFmtId="0" fontId="4" fillId="11" borderId="11" xfId="0" applyNumberFormat="1" applyFont="1" applyFill="1" applyBorder="1" applyAlignment="1">
      <x:alignment horizontal="center" vertical="center" wrapText="1"/>
    </x:xf>
    <x:xf numFmtId="0" fontId="4" fillId="11" borderId="12" xfId="0" applyNumberFormat="1" applyFont="1" applyFill="1" applyBorder="1" applyAlignment="1">
      <x:alignment horizontal="center" vertical="center" wrapText="1"/>
    </x:xf>
    <x:xf numFmtId="0" fontId="4" fillId="11" borderId="15" xfId="0" applyNumberFormat="1" applyFont="1" applyFill="1" applyBorder="1" applyAlignment="1">
      <x:alignment horizontal="center" vertical="center" wrapText="1"/>
    </x:xf>
    <x:xf numFmtId="0" fontId="4" fillId="11" borderId="16" xfId="0" applyNumberFormat="1" applyFont="1" applyFill="1" applyBorder="1" applyAlignment="1">
      <x:alignment horizontal="center" vertical="center" wrapText="1"/>
    </x:xf>
    <x:xf numFmtId="0" fontId="4" fillId="11" borderId="17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2" xfId="0" applyNumberFormat="1" applyFont="1" applyFill="1" applyBorder="1"/>
    <x:xf numFmtId="0" fontId="7" fillId="12" borderId="3" xfId="0" applyNumberFormat="1" applyFont="1" applyFill="1" applyBorder="1"/>
    <x:xf numFmtId="0" fontId="7" fillId="12" borderId="4" xfId="0" applyNumberFormat="1" applyFont="1" applyFill="1" applyBorder="1"/>
    <x:xf numFmtId="0" fontId="7" fillId="12" borderId="7" xfId="0" applyNumberFormat="1" applyFont="1" applyFill="1" applyBorder="1"/>
    <x:xf numFmtId="0" fontId="7" fillId="12" borderId="8" xfId="0" applyNumberFormat="1" applyFont="1" applyFill="1" applyBorder="1"/>
    <x:xf numFmtId="0" fontId="7" fillId="12" borderId="9" xfId="0" applyNumberFormat="1" applyFont="1" applyFill="1" applyBorder="1"/>
    <x:xf numFmtId="0" fontId="7" fillId="12" borderId="2" xfId="0" applyNumberFormat="1" applyFont="1" applyFill="1" applyBorder="1" applyAlignment="1">
      <x:alignment wrapText="1"/>
    </x:xf>
    <x:xf numFmtId="0" fontId="7" fillId="12" borderId="3" xfId="0" applyNumberFormat="1" applyFont="1" applyFill="1" applyBorder="1" applyAlignment="1">
      <x:alignment wrapText="1"/>
    </x:xf>
    <x:xf numFmtId="0" fontId="7" fillId="12" borderId="4" xfId="0" applyNumberFormat="1" applyFont="1" applyFill="1" applyBorder="1" applyAlignment="1">
      <x:alignment wrapText="1"/>
    </x:xf>
    <x:xf numFmtId="0" fontId="7" fillId="12" borderId="7" xfId="0" applyNumberFormat="1" applyFont="1" applyFill="1" applyBorder="1" applyAlignment="1">
      <x:alignment wrapText="1"/>
    </x:xf>
    <x:xf numFmtId="0" fontId="7" fillId="12" borderId="8" xfId="0" applyNumberFormat="1" applyFont="1" applyFill="1" applyBorder="1" applyAlignment="1">
      <x:alignment wrapText="1"/>
    </x:xf>
    <x:xf numFmtId="0" fontId="7" fillId="12" borderId="9" xfId="0" applyNumberFormat="1" applyFont="1" applyFill="1" applyBorder="1" applyAlignment="1">
      <x:alignment wrapText="1"/>
    </x:xf>
    <x:xf numFmtId="0" fontId="7" fillId="12" borderId="2" xfId="0" applyNumberFormat="1" applyFont="1" applyFill="1" applyBorder="1" applyAlignment="1">
      <x:alignment horizontal="center" wrapText="1"/>
    </x:xf>
    <x:xf numFmtId="0" fontId="7" fillId="12" borderId="3" xfId="0" applyNumberFormat="1" applyFont="1" applyFill="1" applyBorder="1" applyAlignment="1">
      <x:alignment horizontal="center" wrapText="1"/>
    </x:xf>
    <x:xf numFmtId="0" fontId="7" fillId="12" borderId="4" xfId="0" applyNumberFormat="1" applyFont="1" applyFill="1" applyBorder="1" applyAlignment="1">
      <x:alignment horizontal="center" wrapText="1"/>
    </x:xf>
    <x:xf numFmtId="0" fontId="7" fillId="12" borderId="7" xfId="0" applyNumberFormat="1" applyFont="1" applyFill="1" applyBorder="1" applyAlignment="1">
      <x:alignment horizontal="center" wrapText="1"/>
    </x:xf>
    <x:xf numFmtId="0" fontId="7" fillId="12" borderId="8" xfId="0" applyNumberFormat="1" applyFont="1" applyFill="1" applyBorder="1" applyAlignment="1">
      <x:alignment horizontal="center" wrapText="1"/>
    </x:xf>
    <x:xf numFmtId="0" fontId="7" fillId="12" borderId="9" xfId="0" applyNumberFormat="1" applyFont="1" applyFill="1" applyBorder="1" applyAlignment="1">
      <x:alignment horizontal="center" wrapText="1"/>
    </x:xf>
    <x:xf numFmtId="0" fontId="7" fillId="12" borderId="2" xfId="0" applyNumberFormat="1" applyFont="1" applyFill="1" applyBorder="1" applyAlignment="1">
      <x:alignment horizontal="center" vertical="center" wrapText="1"/>
    </x:xf>
    <x:xf numFmtId="0" fontId="7" fillId="12" borderId="3" xfId="0" applyNumberFormat="1" applyFont="1" applyFill="1" applyBorder="1" applyAlignment="1">
      <x:alignment horizontal="center" vertical="center" wrapText="1"/>
    </x:xf>
    <x:xf numFmtId="0" fontId="7" fillId="12" borderId="4" xfId="0" applyNumberFormat="1" applyFont="1" applyFill="1" applyBorder="1" applyAlignment="1">
      <x:alignment horizontal="center" vertical="center" wrapText="1"/>
    </x:xf>
    <x:xf numFmtId="0" fontId="7" fillId="12" borderId="7" xfId="0" applyNumberFormat="1" applyFont="1" applyFill="1" applyBorder="1" applyAlignment="1">
      <x:alignment horizontal="center" vertical="center" wrapText="1"/>
    </x:xf>
    <x:xf numFmtId="0" fontId="7" fillId="12" borderId="8" xfId="0" applyNumberFormat="1" applyFont="1" applyFill="1" applyBorder="1" applyAlignment="1">
      <x:alignment horizontal="center" vertical="center" wrapText="1"/>
    </x:xf>
    <x:xf numFmtId="0" fontId="7" fillId="12" borderId="9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7" fillId="12" borderId="1" xfId="0" applyNumberFormat="1" applyFont="1" applyFill="1" applyBorder="1"/>
    <x:xf numFmtId="0" fontId="7" fillId="12" borderId="10" xfId="0" applyNumberFormat="1" applyFont="1" applyFill="1" applyBorder="1"/>
    <x:xf numFmtId="0" fontId="7" fillId="12" borderId="11" xfId="0" applyNumberFormat="1" applyFont="1" applyFill="1" applyBorder="1"/>
    <x:xf numFmtId="0" fontId="7" fillId="12" borderId="12" xfId="0" applyNumberFormat="1" applyFont="1" applyFill="1" applyBorder="1"/>
    <x:xf numFmtId="0" fontId="7" fillId="12" borderId="15" xfId="0" applyNumberFormat="1" applyFont="1" applyFill="1" applyBorder="1"/>
    <x:xf numFmtId="0" fontId="7" fillId="12" borderId="16" xfId="0" applyNumberFormat="1" applyFont="1" applyFill="1" applyBorder="1"/>
    <x:xf numFmtId="0" fontId="7" fillId="12" borderId="17" xfId="0" applyNumberFormat="1" applyFont="1" applyFill="1" applyBorder="1"/>
    <x:xf numFmtId="0" fontId="7" fillId="12" borderId="10" xfId="0" applyNumberFormat="1" applyFont="1" applyFill="1" applyBorder="1" applyAlignment="1">
      <x:alignment wrapText="1"/>
    </x:xf>
    <x:xf numFmtId="0" fontId="7" fillId="12" borderId="11" xfId="0" applyNumberFormat="1" applyFont="1" applyFill="1" applyBorder="1" applyAlignment="1">
      <x:alignment wrapText="1"/>
    </x:xf>
    <x:xf numFmtId="0" fontId="7" fillId="12" borderId="12" xfId="0" applyNumberFormat="1" applyFont="1" applyFill="1" applyBorder="1" applyAlignment="1">
      <x:alignment wrapText="1"/>
    </x:xf>
    <x:xf numFmtId="0" fontId="7" fillId="12" borderId="15" xfId="0" applyNumberFormat="1" applyFont="1" applyFill="1" applyBorder="1" applyAlignment="1">
      <x:alignment wrapText="1"/>
    </x:xf>
    <x:xf numFmtId="0" fontId="7" fillId="12" borderId="16" xfId="0" applyNumberFormat="1" applyFont="1" applyFill="1" applyBorder="1" applyAlignment="1">
      <x:alignment wrapText="1"/>
    </x:xf>
    <x:xf numFmtId="0" fontId="7" fillId="12" borderId="17" xfId="0" applyNumberFormat="1" applyFont="1" applyFill="1" applyBorder="1" applyAlignment="1">
      <x:alignment wrapText="1"/>
    </x:xf>
    <x:xf numFmtId="0" fontId="7" fillId="12" borderId="10" xfId="0" applyNumberFormat="1" applyFont="1" applyFill="1" applyBorder="1" applyAlignment="1">
      <x:alignment horizontal="center" wrapText="1"/>
    </x:xf>
    <x:xf numFmtId="0" fontId="7" fillId="12" borderId="11" xfId="0" applyNumberFormat="1" applyFont="1" applyFill="1" applyBorder="1" applyAlignment="1">
      <x:alignment horizontal="center" wrapText="1"/>
    </x:xf>
    <x:xf numFmtId="0" fontId="7" fillId="12" borderId="12" xfId="0" applyNumberFormat="1" applyFont="1" applyFill="1" applyBorder="1" applyAlignment="1">
      <x:alignment horizontal="center" wrapText="1"/>
    </x:xf>
    <x:xf numFmtId="0" fontId="7" fillId="12" borderId="15" xfId="0" applyNumberFormat="1" applyFont="1" applyFill="1" applyBorder="1" applyAlignment="1">
      <x:alignment horizontal="center" wrapText="1"/>
    </x:xf>
    <x:xf numFmtId="0" fontId="7" fillId="12" borderId="16" xfId="0" applyNumberFormat="1" applyFont="1" applyFill="1" applyBorder="1" applyAlignment="1">
      <x:alignment horizontal="center" wrapText="1"/>
    </x:xf>
    <x:xf numFmtId="0" fontId="7" fillId="12" borderId="17" xfId="0" applyNumberFormat="1" applyFont="1" applyFill="1" applyBorder="1" applyAlignment="1">
      <x:alignment horizontal="center" wrapText="1"/>
    </x:xf>
    <x:xf numFmtId="0" fontId="7" fillId="12" borderId="10" xfId="0" applyNumberFormat="1" applyFont="1" applyFill="1" applyBorder="1" applyAlignment="1">
      <x:alignment horizontal="center" vertical="center" wrapText="1"/>
    </x:xf>
    <x:xf numFmtId="0" fontId="7" fillId="12" borderId="11" xfId="0" applyNumberFormat="1" applyFont="1" applyFill="1" applyBorder="1" applyAlignment="1">
      <x:alignment horizontal="center" vertical="center" wrapText="1"/>
    </x:xf>
    <x:xf numFmtId="0" fontId="7" fillId="12" borderId="12" xfId="0" applyNumberFormat="1" applyFont="1" applyFill="1" applyBorder="1" applyAlignment="1">
      <x:alignment horizontal="center" vertical="center" wrapText="1"/>
    </x:xf>
    <x:xf numFmtId="0" fontId="7" fillId="12" borderId="15" xfId="0" applyNumberFormat="1" applyFont="1" applyFill="1" applyBorder="1" applyAlignment="1">
      <x:alignment horizontal="center" vertical="center" wrapText="1"/>
    </x:xf>
    <x:xf numFmtId="0" fontId="7" fillId="12" borderId="16" xfId="0" applyNumberFormat="1" applyFont="1" applyFill="1" applyBorder="1" applyAlignment="1">
      <x:alignment horizontal="center" vertical="center" wrapText="1"/>
    </x:xf>
    <x:xf numFmtId="0" fontId="7" fillId="12" borderId="17" xfId="0" applyNumberFormat="1" applyFont="1" applyFill="1" applyBorder="1" applyAlignment="1">
      <x:alignment horizontal="center" vertical="center" wrapText="1"/>
    </x:xf>
    <x:xf numFmtId="0" fontId="0" fillId="12" borderId="2" xfId="0" applyNumberFormat="1" applyFont="1" applyFill="1" applyBorder="1"/>
    <x:xf numFmtId="0" fontId="0" fillId="12" borderId="3" xfId="0" applyNumberFormat="1" applyFont="1" applyFill="1" applyBorder="1"/>
    <x:xf numFmtId="0" fontId="0" fillId="12" borderId="4" xfId="0" applyNumberFormat="1" applyFont="1" applyFill="1" applyBorder="1"/>
    <x:xf numFmtId="0" fontId="2" fillId="12" borderId="2" xfId="0" applyNumberFormat="1" applyFont="1" applyFill="1" applyBorder="1"/>
    <x:xf numFmtId="0" fontId="2" fillId="12" borderId="3" xfId="0" applyNumberFormat="1" applyFont="1" applyFill="1" applyBorder="1"/>
    <x:xf numFmtId="0" fontId="2" fillId="12" borderId="4" xfId="0" applyNumberFormat="1" applyFont="1" applyFill="1" applyBorder="1"/>
    <x:xf numFmtId="0" fontId="2" fillId="12" borderId="18" xfId="0" applyNumberFormat="1" applyFont="1" applyFill="1" applyBorder="1"/>
    <x:xf numFmtId="0" fontId="2" fillId="12" borderId="19" xfId="0" applyNumberFormat="1" applyFont="1" applyFill="1" applyBorder="1"/>
    <x:xf numFmtId="0" fontId="2" fillId="12" borderId="20" xfId="0" applyNumberFormat="1" applyFont="1" applyFill="1" applyBorder="1"/>
    <x:xf numFmtId="0" fontId="2" fillId="12" borderId="18" xfId="0" applyNumberFormat="1" applyFont="1" applyFill="1" applyBorder="1" applyAlignment="1">
      <x:alignment wrapText="1"/>
    </x:xf>
    <x:xf numFmtId="0" fontId="2" fillId="12" borderId="19" xfId="0" applyNumberFormat="1" applyFont="1" applyFill="1" applyBorder="1" applyAlignment="1">
      <x:alignment wrapText="1"/>
    </x:xf>
    <x:xf numFmtId="0" fontId="2" fillId="12" borderId="20" xfId="0" applyNumberFormat="1" applyFont="1" applyFill="1" applyBorder="1" applyAlignment="1">
      <x:alignment wrapText="1"/>
    </x:xf>
    <x:xf numFmtId="0" fontId="2" fillId="12" borderId="18" xfId="0" applyNumberFormat="1" applyFont="1" applyFill="1" applyBorder="1" applyAlignment="1">
      <x:alignment horizontal="center" wrapText="1"/>
    </x:xf>
    <x:xf numFmtId="0" fontId="2" fillId="12" borderId="19" xfId="0" applyNumberFormat="1" applyFont="1" applyFill="1" applyBorder="1" applyAlignment="1">
      <x:alignment horizontal="center" wrapText="1"/>
    </x:xf>
    <x:xf numFmtId="0" fontId="2" fillId="12" borderId="20" xfId="0" applyNumberFormat="1" applyFont="1" applyFill="1" applyBorder="1" applyAlignment="1">
      <x:alignment horizontal="center" wrapText="1"/>
    </x:xf>
    <x:xf numFmtId="0" fontId="2" fillId="12" borderId="18" xfId="0" applyNumberFormat="1" applyFont="1" applyFill="1" applyBorder="1" applyAlignment="1">
      <x:alignment horizontal="center" vertical="center" wrapText="1"/>
    </x:xf>
    <x:xf numFmtId="0" fontId="2" fillId="12" borderId="19" xfId="0" applyNumberFormat="1" applyFont="1" applyFill="1" applyBorder="1" applyAlignment="1">
      <x:alignment horizontal="center" vertical="center" wrapText="1"/>
    </x:xf>
    <x:xf numFmtId="0" fontId="2" fillId="12" borderId="2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horizontal="center" wrapText="1"/>
    </x:xf>
    <x:xf numFmtId="0" fontId="4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8" fillId="14" borderId="0" xfId="0" applyNumberFormat="1" applyFont="1" applyFill="1" applyBorder="1" applyAlignment="1">
      <x:alignment wrapText="1"/>
    </x:xf>
    <x:xf numFmtId="0" fontId="8" fillId="14" borderId="0" xfId="0" applyNumberFormat="1" applyFont="1" applyFill="1" applyBorder="1" applyAlignment="1">
      <x:alignment horizontal="center" wrapText="1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18" xfId="0" applyNumberFormat="1" applyFont="1" applyFill="1" applyBorder="1"/>
    <x:xf numFmtId="0" fontId="9" fillId="15" borderId="19" xfId="0" applyNumberFormat="1" applyFont="1" applyFill="1" applyBorder="1"/>
    <x:xf numFmtId="0" fontId="9" fillId="15" borderId="20" xfId="0" applyNumberFormat="1" applyFont="1" applyFill="1" applyBorder="1"/>
    <x:xf numFmtId="0" fontId="9" fillId="15" borderId="18" xfId="0" applyNumberFormat="1" applyFont="1" applyFill="1" applyBorder="1" applyAlignment="1">
      <x:alignment wrapText="1"/>
    </x:xf>
    <x:xf numFmtId="0" fontId="9" fillId="15" borderId="19" xfId="0" applyNumberFormat="1" applyFont="1" applyFill="1" applyBorder="1" applyAlignment="1">
      <x:alignment wrapText="1"/>
    </x:xf>
    <x:xf numFmtId="0" fontId="9" fillId="15" borderId="20" xfId="0" applyNumberFormat="1" applyFont="1" applyFill="1" applyBorder="1" applyAlignment="1">
      <x:alignment wrapText="1"/>
    </x:xf>
    <x:xf numFmtId="0" fontId="9" fillId="15" borderId="18" xfId="0" applyNumberFormat="1" applyFont="1" applyFill="1" applyBorder="1" applyAlignment="1">
      <x:alignment horizontal="center" wrapText="1"/>
    </x:xf>
    <x:xf numFmtId="0" fontId="9" fillId="15" borderId="19" xfId="0" applyNumberFormat="1" applyFont="1" applyFill="1" applyBorder="1" applyAlignment="1">
      <x:alignment horizontal="center" wrapText="1"/>
    </x:xf>
    <x:xf numFmtId="0" fontId="9" fillId="15" borderId="20" xfId="0" applyNumberFormat="1" applyFont="1" applyFill="1" applyBorder="1" applyAlignment="1">
      <x:alignment horizontal="center" wrapText="1"/>
    </x:xf>
    <x:xf numFmtId="0" fontId="9" fillId="15" borderId="18" xfId="0" applyNumberFormat="1" applyFont="1" applyFill="1" applyBorder="1" applyAlignment="1">
      <x:alignment horizontal="center" vertical="center" wrapText="1"/>
    </x:xf>
    <x:xf numFmtId="0" fontId="9" fillId="15" borderId="19" xfId="0" applyNumberFormat="1" applyFont="1" applyFill="1" applyBorder="1" applyAlignment="1">
      <x:alignment horizontal="center" vertical="center" wrapText="1"/>
    </x:xf>
    <x:xf numFmtId="0" fontId="9" fillId="15" borderId="2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xfId="0" applyNumberFormat="1" applyFont="1" applyFill="1" applyBorder="0" applyAlignment="1">
      <x:alignment wrapText="1"/>
    </x:xf>
    <x:xf numFmtId="0" fontId="0" fillId="16" borderId="0" xfId="0" applyNumberFormat="1" applyFont="1" applyFill="1" applyBorder="1"/>
    <x:xf numFmtId="0" fontId="9" fillId="16" borderId="0" xfId="0" applyNumberFormat="1" applyFont="1" applyFill="1" applyBorder="1"/>
    <x:xf numFmtId="0" fontId="9" fillId="16" borderId="18" xfId="0" applyNumberFormat="1" applyFont="1" applyFill="1" applyBorder="1"/>
    <x:xf numFmtId="0" fontId="9" fillId="16" borderId="19" xfId="0" applyNumberFormat="1" applyFont="1" applyFill="1" applyBorder="1"/>
    <x:xf numFmtId="0" fontId="9" fillId="16" borderId="20" xfId="0" applyNumberFormat="1" applyFont="1" applyFill="1" applyBorder="1"/>
    <x:xf numFmtId="0" fontId="9" fillId="16" borderId="18" xfId="0" applyNumberFormat="1" applyFont="1" applyFill="1" applyBorder="1" applyAlignment="1">
      <x:alignment wrapText="1"/>
    </x:xf>
    <x:xf numFmtId="0" fontId="9" fillId="16" borderId="19" xfId="0" applyNumberFormat="1" applyFont="1" applyFill="1" applyBorder="1" applyAlignment="1">
      <x:alignment wrapText="1"/>
    </x:xf>
    <x:xf numFmtId="0" fontId="9" fillId="16" borderId="20" xfId="0" applyNumberFormat="1" applyFont="1" applyFill="1" applyBorder="1" applyAlignment="1">
      <x:alignment wrapText="1"/>
    </x:xf>
    <x:xf numFmtId="0" fontId="9" fillId="16" borderId="18" xfId="0" applyNumberFormat="1" applyFont="1" applyFill="1" applyBorder="1" applyAlignment="1">
      <x:alignment horizontal="center" wrapText="1"/>
    </x:xf>
    <x:xf numFmtId="0" fontId="9" fillId="16" borderId="19" xfId="0" applyNumberFormat="1" applyFont="1" applyFill="1" applyBorder="1" applyAlignment="1">
      <x:alignment horizontal="center" wrapText="1"/>
    </x:xf>
    <x:xf numFmtId="0" fontId="9" fillId="16" borderId="20" xfId="0" applyNumberFormat="1" applyFont="1" applyFill="1" applyBorder="1" applyAlignment="1">
      <x:alignment horizontal="center" wrapText="1"/>
    </x:xf>
    <x:xf numFmtId="0" fontId="9" fillId="16" borderId="18" xfId="0" applyNumberFormat="1" applyFont="1" applyFill="1" applyBorder="1" applyAlignment="1">
      <x:alignment horizontal="center" vertical="center" wrapText="1"/>
    </x:xf>
    <x:xf numFmtId="0" fontId="9" fillId="16" borderId="19" xfId="0" applyNumberFormat="1" applyFont="1" applyFill="1" applyBorder="1" applyAlignment="1">
      <x:alignment horizontal="center" vertical="center" wrapText="1"/>
    </x:xf>
    <x:xf numFmtId="0" fontId="9" fillId="16" borderId="2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2" xfId="0" applyNumberFormat="1" applyFont="1" applyFill="1" applyBorder="1"/>
    <x:xf numFmtId="0" fontId="3" fillId="17" borderId="3" xfId="0" applyNumberFormat="1" applyFont="1" applyFill="1" applyBorder="1"/>
    <x:xf numFmtId="0" fontId="3" fillId="17" borderId="4" xfId="0" applyNumberFormat="1" applyFont="1" applyFill="1" applyBorder="1"/>
    <x:xf numFmtId="0" fontId="3" fillId="17" borderId="5" xfId="0" applyNumberFormat="1" applyFont="1" applyFill="1" applyBorder="1"/>
    <x:xf numFmtId="0" fontId="3" fillId="17" xfId="0" applyNumberFormat="1" applyFont="1" applyFill="1" applyBorder="0"/>
    <x:xf numFmtId="0" fontId="3" fillId="17" borderId="6" xfId="0" applyNumberFormat="1" applyFont="1" applyFill="1" applyBorder="1"/>
    <x:xf numFmtId="0" fontId="3" fillId="17" borderId="7" xfId="0" applyNumberFormat="1" applyFont="1" applyFill="1" applyBorder="1"/>
    <x:xf numFmtId="0" fontId="3" fillId="17" borderId="8" xfId="0" applyNumberFormat="1" applyFont="1" applyFill="1" applyBorder="1"/>
    <x:xf numFmtId="0" fontId="3" fillId="17" borderId="9" xfId="0" applyNumberFormat="1" applyFont="1" applyFill="1" applyBorder="1"/>
    <x:xf numFmtId="0" fontId="3" fillId="17" borderId="2" xfId="0" applyNumberFormat="1" applyFont="1" applyFill="1" applyBorder="1" applyAlignment="1">
      <x:alignment wrapText="1"/>
    </x:xf>
    <x:xf numFmtId="0" fontId="3" fillId="17" borderId="3" xfId="0" applyNumberFormat="1" applyFont="1" applyFill="1" applyBorder="1" applyAlignment="1">
      <x:alignment wrapText="1"/>
    </x:xf>
    <x:xf numFmtId="0" fontId="3" fillId="17" borderId="4" xfId="0" applyNumberFormat="1" applyFont="1" applyFill="1" applyBorder="1" applyAlignment="1">
      <x:alignment wrapText="1"/>
    </x:xf>
    <x:xf numFmtId="0" fontId="3" fillId="17" borderId="5" xfId="0" applyNumberFormat="1" applyFont="1" applyFill="1" applyBorder="1" applyAlignment="1">
      <x:alignment wrapText="1"/>
    </x:xf>
    <x:xf numFmtId="0" fontId="3" fillId="17" xfId="0" applyNumberFormat="1" applyFont="1" applyFill="1" applyBorder="0" applyAlignment="1">
      <x:alignment wrapText="1"/>
    </x:xf>
    <x:xf numFmtId="0" fontId="3" fillId="17" borderId="6" xfId="0" applyNumberFormat="1" applyFont="1" applyFill="1" applyBorder="1" applyAlignment="1">
      <x:alignment wrapText="1"/>
    </x:xf>
    <x:xf numFmtId="0" fontId="3" fillId="17" borderId="7" xfId="0" applyNumberFormat="1" applyFont="1" applyFill="1" applyBorder="1" applyAlignment="1">
      <x:alignment wrapText="1"/>
    </x:xf>
    <x:xf numFmtId="0" fontId="3" fillId="17" borderId="8" xfId="0" applyNumberFormat="1" applyFont="1" applyFill="1" applyBorder="1" applyAlignment="1">
      <x:alignment wrapText="1"/>
    </x:xf>
    <x:xf numFmtId="0" fontId="3" fillId="17" borderId="9" xfId="0" applyNumberFormat="1" applyFont="1" applyFill="1" applyBorder="1" applyAlignment="1">
      <x:alignment wrapText="1"/>
    </x:xf>
    <x:xf numFmtId="0" fontId="0" fillId="18" borderId="2" xfId="0" applyNumberFormat="1" applyFont="1" applyFill="1" applyBorder="1"/>
    <x:xf numFmtId="0" fontId="0" fillId="18" borderId="3" xfId="0" applyNumberFormat="1" applyFont="1" applyFill="1" applyBorder="1"/>
    <x:xf numFmtId="0" fontId="0" fillId="18" borderId="4" xfId="0" applyNumberFormat="1" applyFont="1" applyFill="1" applyBorder="1"/>
    <x:xf numFmtId="0" fontId="10" fillId="18" borderId="2" xfId="0" applyNumberFormat="1" applyFont="1" applyFill="1" applyBorder="1"/>
    <x:xf numFmtId="0" fontId="10" fillId="18" borderId="3" xfId="0" applyNumberFormat="1" applyFont="1" applyFill="1" applyBorder="1"/>
    <x:xf numFmtId="0" fontId="10" fillId="18" borderId="4" xfId="0" applyNumberFormat="1" applyFont="1" applyFill="1" applyBorder="1"/>
    <x:xf numFmtId="0" fontId="10" fillId="18" borderId="18" xfId="0" applyNumberFormat="1" applyFont="1" applyFill="1" applyBorder="1"/>
    <x:xf numFmtId="0" fontId="10" fillId="18" borderId="19" xfId="0" applyNumberFormat="1" applyFont="1" applyFill="1" applyBorder="1"/>
    <x:xf numFmtId="0" fontId="10" fillId="18" borderId="20" xfId="0" applyNumberFormat="1" applyFont="1" applyFill="1" applyBorder="1"/>
    <x:xf numFmtId="0" fontId="10" fillId="18" borderId="18" xfId="0" applyNumberFormat="1" applyFont="1" applyFill="1" applyBorder="1" applyAlignment="1">
      <x:alignment horizontal="center"/>
    </x:xf>
    <x:xf numFmtId="0" fontId="10" fillId="18" borderId="19" xfId="0" applyNumberFormat="1" applyFont="1" applyFill="1" applyBorder="1" applyAlignment="1">
      <x:alignment horizontal="center"/>
    </x:xf>
    <x:xf numFmtId="0" fontId="10" fillId="18" borderId="20" xfId="0" applyNumberFormat="1" applyFont="1" applyFill="1" applyBorder="1" applyAlignment="1">
      <x:alignment horizontal="center"/>
    </x:xf>
    <x:xf numFmtId="0" fontId="10" fillId="18" borderId="18" xfId="0" applyNumberFormat="1" applyFont="1" applyFill="1" applyBorder="1" applyAlignment="1">
      <x:alignment horizontal="center" vertical="center"/>
    </x:xf>
    <x:xf numFmtId="0" fontId="10" fillId="18" borderId="19" xfId="0" applyNumberFormat="1" applyFont="1" applyFill="1" applyBorder="1" applyAlignment="1">
      <x:alignment horizontal="center" vertical="center"/>
    </x:xf>
    <x:xf numFmtId="0" fontId="10" fillId="18" borderId="20" xfId="0" applyNumberFormat="1" applyFont="1" applyFill="1" applyBorder="1" applyAlignment="1">
      <x:alignment horizontal="center" vertical="center"/>
    </x:xf>
    <x:xf numFmtId="0" fontId="10" fillId="18" borderId="18" xfId="0" applyNumberFormat="1" applyFont="1" applyFill="1" applyBorder="1" applyAlignment="1">
      <x:alignment horizontal="center" vertical="center" wrapText="1"/>
    </x:xf>
    <x:xf numFmtId="0" fontId="10" fillId="18" borderId="19" xfId="0" applyNumberFormat="1" applyFont="1" applyFill="1" applyBorder="1" applyAlignment="1">
      <x:alignment horizontal="center" vertical="center" wrapText="1"/>
    </x:xf>
    <x:xf numFmtId="0" fontId="10" fillId="18" borderId="20" xfId="0" applyNumberFormat="1" applyFont="1" applyFill="1" applyBorder="1" applyAlignment="1">
      <x:alignment horizontal="center" vertical="center" wrapText="1"/>
    </x:xf>
    <x:xf numFmtId="0" fontId="0" fillId="19" borderId="2" xfId="0" applyNumberFormat="1" applyFont="1" applyFill="1" applyBorder="1"/>
    <x:xf numFmtId="0" fontId="0" fillId="19" borderId="3" xfId="0" applyNumberFormat="1" applyFont="1" applyFill="1" applyBorder="1"/>
    <x:xf numFmtId="0" fontId="0" fillId="19" borderId="4" xfId="0" applyNumberFormat="1" applyFont="1" applyFill="1" applyBorder="1"/>
    <x:xf numFmtId="0" fontId="9" fillId="19" borderId="2" xfId="0" applyNumberFormat="1" applyFont="1" applyFill="1" applyBorder="1"/>
    <x:xf numFmtId="0" fontId="9" fillId="19" borderId="3" xfId="0" applyNumberFormat="1" applyFont="1" applyFill="1" applyBorder="1"/>
    <x:xf numFmtId="0" fontId="9" fillId="19" borderId="4" xfId="0" applyNumberFormat="1" applyFont="1" applyFill="1" applyBorder="1"/>
    <x:xf numFmtId="0" fontId="9" fillId="19" borderId="18" xfId="0" applyNumberFormat="1" applyFont="1" applyFill="1" applyBorder="1"/>
    <x:xf numFmtId="0" fontId="9" fillId="19" borderId="19" xfId="0" applyNumberFormat="1" applyFont="1" applyFill="1" applyBorder="1"/>
    <x:xf numFmtId="0" fontId="9" fillId="19" borderId="20" xfId="0" applyNumberFormat="1" applyFont="1" applyFill="1" applyBorder="1"/>
    <x:xf numFmtId="0" fontId="9" fillId="19" borderId="18" xfId="0" applyNumberFormat="1" applyFont="1" applyFill="1" applyBorder="1" applyAlignment="1">
      <x:alignment horizontal="center"/>
    </x:xf>
    <x:xf numFmtId="0" fontId="9" fillId="19" borderId="19" xfId="0" applyNumberFormat="1" applyFont="1" applyFill="1" applyBorder="1" applyAlignment="1">
      <x:alignment horizontal="center"/>
    </x:xf>
    <x:xf numFmtId="0" fontId="9" fillId="19" borderId="20" xfId="0" applyNumberFormat="1" applyFont="1" applyFill="1" applyBorder="1" applyAlignment="1">
      <x:alignment horizontal="center"/>
    </x:xf>
    <x:xf numFmtId="0" fontId="9" fillId="19" borderId="18" xfId="0" applyNumberFormat="1" applyFont="1" applyFill="1" applyBorder="1" applyAlignment="1">
      <x:alignment horizontal="center" vertical="center"/>
    </x:xf>
    <x:xf numFmtId="0" fontId="9" fillId="19" borderId="19" xfId="0" applyNumberFormat="1" applyFont="1" applyFill="1" applyBorder="1" applyAlignment="1">
      <x:alignment horizontal="center" vertical="center"/>
    </x:xf>
    <x:xf numFmtId="0" fontId="9" fillId="19" borderId="2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3829dbabb4d40" /><Relationship Type="http://schemas.openxmlformats.org/officeDocument/2006/relationships/theme" Target="/xl/theme/theme1.xml" Id="R15373d7ef2244c5c" /><Relationship Type="http://schemas.openxmlformats.org/officeDocument/2006/relationships/sharedStrings" Target="/xl/sharedStrings.xml" Id="Rd90dea826cd84bae" /><Relationship Type="http://schemas.openxmlformats.org/officeDocument/2006/relationships/worksheet" Target="/xl/worksheets/sheet1.xml" Id="R99d1acf5e1d84a55" /><Relationship Type="http://schemas.openxmlformats.org/officeDocument/2006/relationships/worksheet" Target="/xl/worksheets/sheet2.xml" Id="R0e9875c424604825" /><Relationship Type="http://schemas.openxmlformats.org/officeDocument/2006/relationships/worksheet" Target="/xl/worksheets/sheet3.xml" Id="R38f31ef63dee4af4" /><Relationship Type="http://schemas.openxmlformats.org/officeDocument/2006/relationships/worksheet" Target="/xl/worksheets/sheet4.xml" Id="R71295dd0dd094d77" /><Relationship Type="http://schemas.openxmlformats.org/officeDocument/2006/relationships/worksheet" Target="/xl/worksheets/sheet5.xml" Id="Rd4c81f435272426a" /><Relationship Type="http://schemas.openxmlformats.org/officeDocument/2006/relationships/worksheet" Target="/xl/worksheets/sheet6.xml" Id="R2ead4b29cc184997" /><Relationship Type="http://schemas.openxmlformats.org/officeDocument/2006/relationships/worksheet" Target="/xl/worksheets/sheet7.xml" Id="R94e99c06044e4545" /><Relationship Type="http://schemas.openxmlformats.org/officeDocument/2006/relationships/worksheet" Target="/xl/worksheets/sheet8.xml" Id="R1108d293759c4730" /><Relationship Type="http://schemas.openxmlformats.org/officeDocument/2006/relationships/worksheet" Target="/xl/worksheets/sheet9.xml" Id="R8621142fe5614dd7" /><Relationship Type="http://schemas.openxmlformats.org/officeDocument/2006/relationships/worksheet" Target="/xl/worksheets/sheet10.xml" Id="Rec2d39c2b1014207" /><Relationship Type="http://schemas.openxmlformats.org/officeDocument/2006/relationships/worksheet" Target="/xl/worksheets/sheet11.xml" Id="Rbef617e2e64743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ba3a90fb69647f2" /><Relationship Type="http://schemas.openxmlformats.org/officeDocument/2006/relationships/chart" Target="/xl/drawings/charts/chart1.xml" Id="R9438214c208447b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4c4e24a8f4e54dc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8a2ef7a16978446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25ef98cf29d94b8b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2dc3ac7c04f54b72" /><Relationship Type="http://schemas.openxmlformats.org/officeDocument/2006/relationships/chart" Target="/xl/drawings/charts/chart2.xml" Id="Raee3dfa03c904ec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01c60cf8f7f84a9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924f8182e6ae4dd8" /><Relationship Type="http://schemas.openxmlformats.org/officeDocument/2006/relationships/image" Target="/xl/media/image8.png" Id="R834c4edb96904f6b" /><Relationship Type="http://schemas.openxmlformats.org/officeDocument/2006/relationships/image" Target="/xl/media/image9.png" Id="Ra0671163e51041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Oven result overview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'RESULT'!$F$13:$F$15</c:f>
              <c:strCache>
                <c:ptCount val="0"/>
              </c:strCache>
            </c:strRef>
          </c:cat>
          <c:val>
            <c:numRef>
              <c:f>'RESULT'!$G$13:$G$15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'RESULT'!$F$13:$F$15</c:f>
              <c:strCache>
                <c:ptCount val="0"/>
              </c:strCache>
            </c:strRef>
          </c:cat>
          <c:val>
            <c:numRef>
              <c:f>'RESULT'!$H$13:$H$15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cat>
            <c:strRef>
              <c:f>'RESULT'!$F$13:$F$15</c:f>
              <c:strCache>
                <c:ptCount val="0"/>
              </c:strCache>
            </c:strRef>
          </c:cat>
          <c:val>
            <c:numRef>
              <c:f>'RESULT'!$I$13:$I$15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cat>
            <c:strRef>
              <c:f>'RESULT'!$F$13:$F$15</c:f>
              <c:strCache>
                <c:ptCount val="0"/>
              </c:strCache>
            </c:strRef>
          </c:cat>
          <c:val>
            <c:numRef>
              <c:f>'RESULT'!$J$13:$J$15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option 비교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기본</c:v>
          </c:tx>
          <c:cat>
            <c:strRef>
              <c:f>'sales+rum'!$D$8:$D$10</c:f>
              <c:strCache>
                <c:ptCount val="0"/>
              </c:strCache>
            </c:strRef>
          </c:cat>
          <c:val>
            <c:numRef>
              <c:f>'sales+rum'!$E$8:$E$10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럼 추가</c:v>
          </c:tx>
          <c:cat>
            <c:strRef>
              <c:f>'sales+rum'!$D$8:$D$10</c:f>
              <c:strCache>
                <c:ptCount val="0"/>
              </c:strCache>
            </c:strRef>
          </c:cat>
          <c:val>
            <c:numRef>
              <c:f>'sales+rum'!$F$8:$F$10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설탕 코팅</c:v>
          </c:tx>
          <c:cat>
            <c:strRef>
              <c:f>'sales+rum'!$D$8:$D$10</c:f>
              <c:strCache>
                <c:ptCount val="0"/>
              </c:strCache>
            </c:strRef>
          </c:cat>
          <c:val>
            <c:numRef>
              <c:f>'sales+rum'!$G$8:$G$10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토핑</c:v>
          </c:tx>
          <c:cat>
            <c:strRef>
              <c:f>'sales+rum'!$D$8:$D$10</c:f>
              <c:strCache>
                <c:ptCount val="0"/>
              </c:strCache>
            </c:strRef>
          </c:cat>
          <c:val>
            <c:numRef>
              <c:f>'sales+rum'!$H$8:$H$10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럼+토핑</c:v>
          </c:tx>
          <c:cat>
            <c:strRef>
              <c:f>'sales+rum'!$D$8:$D$10</c:f>
              <c:strCache>
                <c:ptCount val="0"/>
              </c:strCache>
            </c:strRef>
          </c:cat>
          <c:val>
            <c:numRef>
              <c:f>'sales+rum'!$I$8:$I$10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코팅+토핑</c:v>
          </c:tx>
          <c:cat>
            <c:strRef>
              <c:f>'sales+rum'!$D$8:$D$10</c:f>
              <c:strCache>
                <c:ptCount val="0"/>
              </c:strCache>
            </c:strRef>
          </c:cat>
          <c:val>
            <c:numRef>
              <c:f>'sales+rum'!$J$8:$J$10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19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38214c208447bd"/>
        </a:graphicData>
      </a:graphic>
    </xdr:graphicFrame>
    <xdr:clientData/>
  </xdr:twoCellAnchor>
  <xdr:oneCellAnchor>
    <xdr:from>
      <xdr:col>19</xdr:col>
      <xdr:colOff>0</xdr:colOff>
      <xdr:row>1</xdr:row>
      <xdr:rowOff>0</xdr:rowOff>
    </xdr:from>
    <xdr:ext cx="2857500" cy="1333500"/>
    <xdr:pic>
      <xdr:nvPicPr>
        <xdr:cNvPr id="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a3a90fb69647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12</xdr:col>
      <xdr:colOff>0</xdr:colOff>
      <xdr:row>17</xdr:row>
      <xdr:rowOff>0</xdr:rowOff>
    </xdr:from>
    <xdr:ext cx="2381250" cy="114300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4e24a8f4e54d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20</xdr:col>
      <xdr:colOff>0</xdr:colOff>
      <xdr:row>10</xdr:row>
      <xdr:rowOff>0</xdr:rowOff>
    </xdr:from>
    <xdr:ext cx="2286000" cy="1047750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2ef7a1697844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20</xdr:col>
      <xdr:colOff>0</xdr:colOff>
      <xdr:row>10</xdr:row>
      <xdr:rowOff>0</xdr:rowOff>
    </xdr:from>
    <xdr:ext cx="2286000" cy="104775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ef98cf29d94b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e3dfa03c904ec3"/>
        </a:graphicData>
      </a:graphic>
    </xdr:graphicFrame>
    <xdr:clientData/>
  </xdr:twoCellAnchor>
  <xdr:oneCellAnchor>
    <xdr:from>
      <xdr:col>17</xdr:col>
      <xdr:colOff>0</xdr:colOff>
      <xdr:row>5</xdr:row>
      <xdr:rowOff>0</xdr:rowOff>
    </xdr:from>
    <xdr:ext cx="2381250" cy="1095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c3ac7c04f54b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3</xdr:col>
      <xdr:colOff>0</xdr:colOff>
      <xdr:row>5</xdr:row>
      <xdr:rowOff>0</xdr:rowOff>
    </xdr:from>
    <xdr:ext cx="3429000" cy="1571625"/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60cf8f7f84a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9</xdr:col>
      <xdr:colOff>0</xdr:colOff>
      <xdr:row>6</xdr:row>
      <xdr:rowOff>0</xdr:rowOff>
    </xdr:from>
    <xdr:ext cx="2762250" cy="2095500"/>
    <xdr:pic>
      <xdr:nvPicPr>
        <xdr:cNvPr id="1" name="344c318d-9b11-455c-afa5-c20c943e15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4f8182e6ae4d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6</xdr:row>
      <xdr:rowOff>0</xdr:rowOff>
    </xdr:from>
    <xdr:ext cx="2762250" cy="2095500"/>
    <xdr:pic>
      <xdr:nvPicPr>
        <xdr:cNvPr id="2" name="382c8165-141f-4bd4-a151-afb0ccbba4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4c4edb96904f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19</xdr:row>
      <xdr:rowOff>0</xdr:rowOff>
    </xdr:from>
    <xdr:ext cx="2762250" cy="2095500"/>
    <xdr:pic>
      <xdr:nvPicPr>
        <xdr:cNvPr id="3" name="5cfcacea-f9b2-4b69-9485-68a573f0da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671163e51041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f65cdf127ad48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f36c77aec234c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db7b6b6612a546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655114fb727842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ae0ce34b3d6343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61f5fe2366574a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ff6189a93b54464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2">
      <x:c r="F2" s="6" t="str">
        <x:v>초코 휘낭시에 — 실험 종합 / Choco FINANCIER</x:v>
      </x:c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</x:row>
    <x:row r="5">
      <x:c r="F5" s="29" t="str">
        <x:v>Recipe</x:v>
      </x:c>
      <x:c r="G5" s="30" t="str">
        <x:v>초코</x:v>
      </x:c>
      <x:c r="H5" s="30" t="str">
        <x:v>ver.</x:v>
      </x:c>
      <x:c r="I5" s="30" t="str">
        <x:v>R1.7</x:v>
      </x:c>
      <x:c r="J5" s="31"/>
    </x:row>
    <x:row r="6">
      <x:c r="F6" s="32" t="str">
        <x:v>실험기간</x:v>
      </x:c>
      <x:c r="G6" s="33" t="str">
        <x:v>2026-08~09</x:v>
      </x:c>
      <x:c r="H6" s="33" t="str">
        <x:v>n</x:v>
      </x:c>
      <x:c r="I6" s="33" t="str">
        <x:v>3~5</x:v>
      </x:c>
      <x:c r="J6" s="34"/>
      <x:c r="O6" s="85" t="str">
        <x:v>메모 / sticky note
• oven 실제편차 ±3℃ 추정
• 일부 사진은 다른 batch reference
• '부풀기' 측정 기준이 사람마다 약간 다름
• 색 진함/굵은 글씨 = 중요 표시</x:v>
      </x:c>
      <x:c r="P6" s="86"/>
      <x:c r="Q6" s="86"/>
      <x:c r="R6" s="87"/>
    </x:row>
    <x:row r="7">
      <x:c r="F7" s="32" t="str">
        <x:v>주요변수</x:v>
      </x:c>
      <x:c r="G7" s="33" t="str">
        <x:v>oven/temp/add-in</x:v>
      </x:c>
      <x:c r="H7" s="33" t="str">
        <x:v>판정</x:v>
      </x:c>
      <x:c r="I7" s="33" t="str">
        <x:v>core temp + rise</x:v>
      </x:c>
      <x:c r="J7" s="34"/>
      <x:c r="O7" s="88"/>
      <x:c r="P7" s="89"/>
      <x:c r="Q7" s="89"/>
      <x:c r="R7" s="90"/>
    </x:row>
    <x:row r="8">
      <x:c r="F8" s="32" t="str">
        <x:v>기록상태</x:v>
      </x:c>
      <x:c r="G8" s="33" t="str">
        <x:v>수기+사진+수식</x:v>
      </x:c>
      <x:c r="H8" s="33" t="str">
        <x:v>memo</x:v>
      </x:c>
      <x:c r="I8" s="33" t="str">
        <x:v>영/한/기호 혼용</x:v>
      </x:c>
      <x:c r="J8" s="34"/>
      <x:c r="O8" s="88"/>
      <x:c r="P8" s="89"/>
      <x:c r="Q8" s="89"/>
      <x:c r="R8" s="90"/>
    </x:row>
    <x:row r="9">
      <x:c r="F9" s="32" t="str">
        <x:v>중요</x:v>
      </x:c>
      <x:c r="G9" s="33" t="str">
        <x:v>색상도 의미 있음</x:v>
      </x:c>
      <x:c r="H9" s="33" t="str">
        <x:v>주의</x:v>
      </x:c>
      <x:c r="I9" s="33" t="str">
        <x:v>일부 셀은 계산값</x:v>
      </x:c>
      <x:c r="J9" s="34"/>
      <x:c r="O9" s="88"/>
      <x:c r="P9" s="89"/>
      <x:c r="Q9" s="89"/>
      <x:c r="R9" s="90"/>
    </x:row>
    <x:row r="10">
      <x:c r="F10" s="35" t="str">
        <x:v>파일 메모</x:v>
      </x:c>
      <x:c r="G10" s="36" t="str">
        <x:v>형식 통일 안 함</x:v>
      </x:c>
      <x:c r="H10" s="36" t="str">
        <x:v>owner</x:v>
      </x:c>
      <x:c r="I10" s="36" t="str">
        <x:v>미기입</x:v>
      </x:c>
      <x:c r="J10" s="37"/>
      <x:c r="O10" s="88"/>
      <x:c r="P10" s="89"/>
      <x:c r="Q10" s="89"/>
      <x:c r="R10" s="90"/>
    </x:row>
    <x:row r="11">
      <x:c r="O11" s="88"/>
      <x:c r="P11" s="89"/>
      <x:c r="Q11" s="89"/>
      <x:c r="R11" s="90"/>
    </x:row>
    <x:row r="12">
      <x:c r="O12" s="91"/>
      <x:c r="P12" s="92"/>
      <x:c r="Q12" s="92"/>
      <x:c r="R12" s="93"/>
    </x:row>
    <x:row r="13">
      <x:c r="F13" s="58" t="str">
        <x:v>metric</x:v>
      </x:c>
      <x:c r="G13" s="59" t="n">
        <x:v>185</x:v>
      </x:c>
      <x:c r="H13" s="59" t="n">
        <x:v>195</x:v>
      </x:c>
      <x:c r="I13" s="59" t="n">
        <x:v>200</x:v>
      </x:c>
      <x:c r="J13" s="60" t="n">
        <x:v>205</x:v>
      </x:c>
    </x:row>
    <x:row r="14">
      <x:c r="F14" s="12" t="str">
        <x:v>core max(℃)</x:v>
      </x:c>
      <x:c r="G14" s="13" t="n">
        <x:v>93.6</x:v>
      </x:c>
      <x:c r="H14" s="13" t="n">
        <x:v>95.5</x:v>
      </x:c>
      <x:c r="I14" s="13" t="n">
        <x:v>96.8</x:v>
      </x:c>
      <x:c r="J14" s="14" t="n">
        <x:v>97.8</x:v>
      </x:c>
    </x:row>
    <x:row r="15">
      <x:c r="F15" s="15" t="str">
        <x:v>rise mm</x:v>
      </x:c>
      <x:c r="G15" s="16" t="n">
        <x:v>11</x:v>
      </x:c>
      <x:c r="H15" s="16" t="n">
        <x:v>12.4</x:v>
      </x:c>
      <x:c r="I15" s="16" t="n">
        <x:v>12.8</x:v>
      </x:c>
      <x:c r="J15" s="17" t="n">
        <x:v>13.6</x:v>
      </x:c>
    </x:row>
    <x:row r="16">
      <x:c r="F16" s="18" t="str">
        <x:v>crack%</x:v>
      </x:c>
      <x:c r="G16" s="19" t="n">
        <x:v>2</x:v>
      </x:c>
      <x:c r="H16" s="19" t="n">
        <x:v>9.7</x:v>
      </x:c>
      <x:c r="I16" s="19" t="n">
        <x:v>12.3</x:v>
      </x:c>
      <x:c r="J16" s="20" t="n">
        <x:v>15.2</x:v>
      </x:c>
    </x:row>
  </x:sheetData>
  <x:mergeCells>
    <x:mergeCell ref="F2:R3"/>
    <x:mergeCell ref="O6:R12"/>
  </x:mergeCells>
  <x:pageMargins left="0.7" right="0.7" top="0.75" bottom="0.75" header="0.3" footer="0.3"/>
  <x:drawing xmlns:r="http://schemas.openxmlformats.org/officeDocument/2006/relationships" r:id="Rcf65cdf127ad48a4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7">
      <x:c r="B7" s="116" t="str">
        <x:v>초코 재료/원가 기록  COST??</x:v>
      </x:c>
      <x:c r="C7" s="116"/>
      <x:c r="D7" s="116"/>
      <x:c r="E7" s="116"/>
      <x:c r="F7" s="116"/>
      <x:c r="G7" s="116"/>
      <x:c r="H7" s="116"/>
      <x:c r="I7" s="116"/>
      <x:c r="J7" s="116"/>
    </x:row>
    <x:row r="8">
      <x:c r="B8" s="116"/>
      <x:c r="C8" s="116"/>
      <x:c r="D8" s="116"/>
      <x:c r="E8" s="116"/>
      <x:c r="F8" s="116"/>
      <x:c r="G8" s="116"/>
      <x:c r="H8" s="116"/>
      <x:c r="I8" s="116"/>
      <x:c r="J8" s="116"/>
    </x:row>
    <x:row r="9">
      <x:c r="B9" s="132" t="str">
        <x:v>Material_KR</x:v>
      </x:c>
      <x:c r="C9" s="133" t="str">
        <x:v>alias</x:v>
      </x:c>
      <x:c r="D9" s="133" t="str">
        <x:v>QTY</x:v>
      </x:c>
      <x:c r="E9" s="133" t="str">
        <x:v>u.</x:v>
      </x:c>
      <x:c r="F9" s="133" t="str">
        <x:v>price</x:v>
      </x:c>
      <x:c r="G9" s="133" t="str">
        <x:v>cost</x:v>
      </x:c>
      <x:c r="H9" s="133" t="str">
        <x:v>ratio</x:v>
      </x:c>
      <x:c r="I9" s="133" t="str">
        <x:v>source</x:v>
      </x:c>
      <x:c r="J9" s="134" t="str">
        <x:v>note</x:v>
      </x:c>
    </x:row>
    <x:row r="10">
      <x:c r="B10" s="12" t="str">
        <x:v>무염버터</x:v>
      </x:c>
      <x:c r="C10" s="13" t="str">
        <x:v>butter</x:v>
      </x:c>
      <x:c r="D10" s="13" t="n">
        <x:v>0.115</x:v>
      </x:c>
      <x:c r="E10" s="13" t="str">
        <x:v>kg</x:v>
      </x:c>
      <x:c r="F10" s="13" t="n">
        <x:v>12800</x:v>
      </x:c>
      <x:c r="G10" s="13" t="n">
        <x:v>1472</x:v>
      </x:c>
      <x:c r="H10" s="13" t="n">
        <x:f>ROUND(G10/SUM($G$10:$G$17)*100,2)</x:f>
        <x:v>26.25</x:v>
      </x:c>
      <x:c r="I10" s="13" t="str">
        <x:v>MKT-ING</x:v>
      </x:c>
      <x:c r="J10" s="14" t="str">
        <x:v>냉장</x:v>
      </x:c>
    </x:row>
    <x:row r="11">
      <x:c r="B11" s="15" t="str">
        <x:v>아몬드P</x:v>
      </x:c>
      <x:c r="C11" s="16" t="str">
        <x:v>almond powder</x:v>
      </x:c>
      <x:c r="D11" s="16" t="n">
        <x:v>88</x:v>
      </x:c>
      <x:c r="E11" s="16" t="str">
        <x:v>g</x:v>
      </x:c>
      <x:c r="F11" s="16" t="n">
        <x:v>18.5</x:v>
      </x:c>
      <x:c r="G11" s="75" t="n">
        <x:v>1628</x:v>
      </x:c>
      <x:c r="H11" s="75" t="n">
        <x:f>ROUND(G11/SUM($G$10:$G$17)*100,2)</x:f>
        <x:v>29.03</x:v>
      </x:c>
      <x:c r="I11" s="16" t="str">
        <x:v>local</x:v>
      </x:c>
      <x:c r="J11" s="17" t="str">
        <x:v>LOT주의</x:v>
      </x:c>
    </x:row>
    <x:row r="12">
      <x:c r="B12" s="15" t="str">
        <x:v>박력분</x:v>
      </x:c>
      <x:c r="C12" s="16" t="str">
        <x:v>flour</x:v>
      </x:c>
      <x:c r="D12" s="16" t="n">
        <x:v>28</x:v>
      </x:c>
      <x:c r="E12" s="16" t="str">
        <x:v>g</x:v>
      </x:c>
      <x:c r="F12" s="16" t="n">
        <x:v>2.5</x:v>
      </x:c>
      <x:c r="G12" s="75" t="n">
        <x:v>70</x:v>
      </x:c>
      <x:c r="H12" s="75" t="n">
        <x:f>ROUND(G12/SUM($G$10:$G$17)*100,2)</x:f>
        <x:v>1.25</x:v>
      </x:c>
      <x:c r="I12" s="16" t="str">
        <x:v>ImportHub</x:v>
      </x:c>
      <x:c r="J12" s="17" t="str">
        <x:v>spec?</x:v>
      </x:c>
    </x:row>
    <x:row r="13">
      <x:c r="B13" s="15" t="str">
        <x:v>코코아</x:v>
      </x:c>
      <x:c r="C13" s="16" t="str">
        <x:v>cocoa powder</x:v>
      </x:c>
      <x:c r="D13" s="16" t="n">
        <x:v>18</x:v>
      </x:c>
      <x:c r="E13" s="16" t="str">
        <x:v>g</x:v>
      </x:c>
      <x:c r="F13" s="16" t="n">
        <x:v>26</x:v>
      </x:c>
      <x:c r="G13" s="75" t="n">
        <x:v>468</x:v>
      </x:c>
      <x:c r="H13" s="75" t="n">
        <x:f>ROUND(G13/SUM($G$10:$G$17)*100,2)</x:f>
        <x:v>8.35</x:v>
      </x:c>
      <x:c r="I13" s="16" t="str">
        <x:v>local</x:v>
      </x:c>
      <x:c r="J13" s="17" t="str">
        <x:v>가격변동</x:v>
      </x:c>
    </x:row>
    <x:row r="14">
      <x:c r="B14" s="15" t="str">
        <x:v>슈가P</x:v>
      </x:c>
      <x:c r="C14" s="149" t="str">
        <x:v>powder sugar</x:v>
      </x:c>
      <x:c r="D14" s="16" t="n">
        <x:v>108</x:v>
      </x:c>
      <x:c r="E14" s="16" t="str">
        <x:v>g</x:v>
      </x:c>
      <x:c r="F14" s="16" t="n">
        <x:v>4.8</x:v>
      </x:c>
      <x:c r="G14" s="16" t="n">
        <x:v>518.4</x:v>
      </x:c>
      <x:c r="H14" s="16" t="n">
        <x:f>ROUND(G14/SUM($G$10:$G$17)*100,2)</x:f>
        <x:v>9.24</x:v>
      </x:c>
      <x:c r="I14" s="16" t="str">
        <x:v>미기입</x:v>
      </x:c>
      <x:c r="J14" s="17" t="str">
        <x:v>LOT주의</x:v>
      </x:c>
    </x:row>
    <x:row r="15">
      <x:c r="B15" s="15" t="str">
        <x:v>다크초코</x:v>
      </x:c>
      <x:c r="C15" s="149" t="str">
        <x:v>Dark 64%</x:v>
      </x:c>
      <x:c r="D15" s="16" t="n">
        <x:v>35</x:v>
      </x:c>
      <x:c r="E15" s="16" t="str">
        <x:v>g</x:v>
      </x:c>
      <x:c r="F15" s="16" t="n">
        <x:v>21</x:v>
      </x:c>
      <x:c r="G15" s="16" t="n">
        <x:v>735</x:v>
      </x:c>
      <x:c r="H15" s="16" t="n">
        <x:f>ROUND(G15/SUM($G$10:$G$17)*100,2)</x:f>
        <x:v>13.11</x:v>
      </x:c>
      <x:c r="I15" s="16" t="str">
        <x:v>local</x:v>
      </x:c>
      <x:c r="J15" s="17" t="str">
        <x:v>가격변동</x:v>
      </x:c>
    </x:row>
    <x:row r="16">
      <x:c r="B16" s="15" t="str">
        <x:v>egg white</x:v>
      </x:c>
      <x:c r="C16" s="16" t="str">
        <x:v>흰자</x:v>
      </x:c>
      <x:c r="D16" s="16" t="n">
        <x:v>130</x:v>
      </x:c>
      <x:c r="E16" s="16" t="str">
        <x:v>g</x:v>
      </x:c>
      <x:c r="F16" s="16" t="n">
        <x:v>5.5</x:v>
      </x:c>
      <x:c r="G16" s="16" t="n">
        <x:v>715</x:v>
      </x:c>
      <x:c r="H16" s="16" t="n">
        <x:f>ROUND(G16/SUM($G$10:$G$17)*100,2)</x:f>
        <x:v>12.75</x:v>
      </x:c>
      <x:c r="I16" s="16" t="str">
        <x:v>ImportHub</x:v>
      </x:c>
      <x:c r="J16" s="17" t="str">
        <x:v>가격변동</x:v>
      </x:c>
    </x:row>
    <x:row r="17">
      <x:c r="B17" s="18" t="str">
        <x:v>소금</x:v>
      </x:c>
      <x:c r="C17" s="19" t="str">
        <x:v>salt</x:v>
      </x:c>
      <x:c r="D17" s="19" t="n">
        <x:v>1.5</x:v>
      </x:c>
      <x:c r="E17" s="19" t="str">
        <x:v>g</x:v>
      </x:c>
      <x:c r="F17" s="19" t="n">
        <x:v>1.1</x:v>
      </x:c>
      <x:c r="G17" s="19" t="n">
        <x:v>1.7</x:v>
      </x:c>
      <x:c r="H17" s="19" t="n">
        <x:f>ROUND(G17/SUM($G$10:$G$17)*100,2)</x:f>
        <x:v>0.03</x:v>
      </x:c>
      <x:c r="I17" s="19" t="str">
        <x:v>local</x:v>
      </x:c>
      <x:c r="J17" s="20" t="str">
        <x:v>spec?</x:v>
      </x:c>
    </x:row>
    <x:row r="20">
      <x:c r="G20" s="12" t="str">
        <x:v>Batch total</x:v>
      </x:c>
      <x:c r="H20" s="14" t="n">
        <x:f>SUM(G10:G17)</x:f>
        <x:v>5608.099999999999</x:v>
      </x:c>
    </x:row>
    <x:row r="21">
      <x:c r="G21" s="15" t="str">
        <x:v>ea cost /12</x:v>
      </x:c>
      <x:c r="H21" s="17" t="n">
        <x:f>ROUND((H20+H22)/12,1)</x:f>
        <x:v>482.3</x:v>
      </x:c>
    </x:row>
    <x:row r="22">
      <x:c r="G22" s="15" t="str">
        <x:v>package</x:v>
      </x:c>
      <x:c r="H22" s="17" t="n">
        <x:v>180</x:v>
      </x:c>
    </x:row>
    <x:row r="23">
      <x:c r="G23" s="18" t="str">
        <x:v>판매가 rough</x:v>
      </x:c>
      <x:c r="H23" s="20" t="n">
        <x:f>ROUND(H21*2.6,-1)</x:f>
        <x:v>1250</x:v>
      </x:c>
    </x:row>
  </x:sheetData>
  <x:mergeCells>
    <x:mergeCell ref="B7:J8"/>
  </x:mergeCells>
  <x:pageMargins left="0.7" right="0.7" top="0.75" bottom="0.75" header="0.3" footer="0.3"/>
  <x:drawing xmlns:r="http://schemas.openxmlformats.org/officeDocument/2006/relationships" r:id="R4f36c77aec234cea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171" t="str">
        <x:v>초코 185C Trial / core temp + puff split</x:v>
      </x:c>
      <x:c r="G2" s="172"/>
      <x:c r="H2" s="172"/>
      <x:c r="I2" s="172"/>
      <x:c r="J2" s="172"/>
      <x:c r="K2" s="172"/>
      <x:c r="L2" s="172"/>
      <x:c r="M2" s="172"/>
      <x:c r="N2" s="172"/>
      <x:c r="O2" s="172"/>
      <x:c r="P2" s="172"/>
      <x:c r="Q2" s="172"/>
      <x:c r="R2" s="17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174"/>
      <x:c r="G3" s="175"/>
      <x:c r="H3" s="175"/>
      <x:c r="I3" s="175"/>
      <x:c r="J3" s="175"/>
      <x:c r="K3" s="175"/>
      <x:c r="L3" s="175"/>
      <x:c r="M3" s="175"/>
      <x:c r="N3" s="175"/>
      <x:c r="O3" s="175"/>
      <x:c r="P3" s="175"/>
      <x:c r="Q3" s="175"/>
      <x:c r="R3" s="176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214" t="str">
        <x:v>Time</x:v>
      </x:c>
      <x:c r="G6" s="215" t="n">
        <x:v>0</x:v>
      </x:c>
      <x:c r="H6" s="215" t="n">
        <x:v>3</x:v>
      </x:c>
      <x:c r="I6" s="215" t="n">
        <x:v>6</x:v>
      </x:c>
      <x:c r="J6" s="215" t="n">
        <x:v>9</x:v>
      </x:c>
      <x:c r="K6" s="215" t="n">
        <x:v>12</x:v>
      </x:c>
      <x:c r="L6" s="215" t="n">
        <x:v>15</x:v>
      </x:c>
      <x:c r="M6" s="215" t="n">
        <x:v>18</x:v>
      </x:c>
      <x:c r="N6" s="216" t="n">
        <x:v>21</x:v>
      </x:c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 t="str">
        <x:v>min</x:v>
      </x:c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/>
      <x:c r="P7" s="29" t="str">
        <x:v>memo</x:v>
      </x:c>
      <x:c r="Q7" s="30" t="str">
        <x:v>value</x:v>
      </x:c>
      <x:c r="R7" s="31" t="str">
        <x:v>unit</x:v>
      </x:c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33"/>
      <x:c r="D8" s="33"/>
      <x:c r="E8" s="33"/>
      <x:c r="F8" s="242" t="str">
        <x:v>CORE TEMP (℃)</x:v>
      </x:c>
      <x:c r="G8" s="243"/>
      <x:c r="H8" s="243"/>
      <x:c r="I8" s="243"/>
      <x:c r="J8" s="243"/>
      <x:c r="K8" s="243"/>
      <x:c r="L8" s="243"/>
      <x:c r="M8" s="243"/>
      <x:c r="N8" s="244"/>
      <x:c r="O8" s="33"/>
      <x:c r="P8" s="32" t="str">
        <x:v>oven offset</x:v>
      </x:c>
      <x:c r="Q8" s="33" t="n">
        <x:v>2</x:v>
      </x:c>
      <x:c r="R8" s="34" t="str">
        <x:v>℃</x:v>
      </x:c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33"/>
      <x:c r="D9" s="33"/>
      <x:c r="E9" s="33"/>
      <x:c r="F9" s="29" t="str">
        <x:v>base</x:v>
      </x:c>
      <x:c r="G9" s="30" t="n">
        <x:v>26.9</x:v>
      </x:c>
      <x:c r="H9" s="30" t="n">
        <x:v>36.7</x:v>
      </x:c>
      <x:c r="I9" s="30" t="n">
        <x:v>47.2</x:v>
      </x:c>
      <x:c r="J9" s="30" t="n">
        <x:v>58.5</x:v>
      </x:c>
      <x:c r="K9" s="30" t="n">
        <x:v>69</x:v>
      </x:c>
      <x:c r="L9" s="30" t="n">
        <x:v>79.9</x:v>
      </x:c>
      <x:c r="M9" s="30" t="n">
        <x:v>89.9</x:v>
      </x:c>
      <x:c r="N9" s="31" t="n">
        <x:v>99.4</x:v>
      </x:c>
      <x:c r="O9" s="33"/>
      <x:c r="P9" s="32" t="str">
        <x:v>probe</x:v>
      </x:c>
      <x:c r="Q9" s="33" t="str">
        <x:v>K-type</x:v>
      </x:c>
      <x:c r="R9" s="34" t="str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3"/>
      <x:c r="E10" s="33"/>
      <x:c r="F10" s="32" t="str">
        <x:v>Rum 2%</x:v>
      </x:c>
      <x:c r="G10" s="33" t="n">
        <x:v>27.5</x:v>
      </x:c>
      <x:c r="H10" s="33" t="n">
        <x:v>37.2</x:v>
      </x:c>
      <x:c r="I10" s="33" t="n">
        <x:v>48.7</x:v>
      </x:c>
      <x:c r="J10" s="33" t="n">
        <x:v>59</x:v>
      </x:c>
      <x:c r="K10" s="33" t="n">
        <x:v>69.9</x:v>
      </x:c>
      <x:c r="L10" s="33" t="n">
        <x:v>79.9</x:v>
      </x:c>
      <x:c r="M10" s="33" t="n">
        <x:v>91</x:v>
      </x:c>
      <x:c r="N10" s="34" t="n">
        <x:v>99.4</x:v>
      </x:c>
      <x:c r="O10" s="33"/>
      <x:c r="P10" s="32" t="str">
        <x:v>crumb</x:v>
      </x:c>
      <x:c r="Q10" s="33" t="str">
        <x:v>visual</x:v>
      </x:c>
      <x:c r="R10" s="34" t="str">
        <x:v>1~5</x:v>
      </x:c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2" t="str">
        <x:v>glaze</x:v>
      </x:c>
      <x:c r="G11" s="33" t="n">
        <x:v>26.8</x:v>
      </x:c>
      <x:c r="H11" s="33" t="n">
        <x:v>38.7</x:v>
      </x:c>
      <x:c r="I11" s="33" t="n">
        <x:v>48.8</x:v>
      </x:c>
      <x:c r="J11" s="33" t="n">
        <x:v>60</x:v>
      </x:c>
      <x:c r="K11" s="33" t="n">
        <x:v>70.5</x:v>
      </x:c>
      <x:c r="L11" s="33" t="n">
        <x:v>81.2</x:v>
      </x:c>
      <x:c r="M11" s="33" t="n">
        <x:v>92</x:v>
      </x:c>
      <x:c r="N11" s="34" t="n">
        <x:v>99.4</x:v>
      </x:c>
      <x:c r="O11" s="33"/>
      <x:c r="P11" s="32" t="str">
        <x:v>note</x:v>
      </x:c>
      <x:c r="Q11" s="33" t="str">
        <x:v>초코칩 녹음</x:v>
      </x:c>
      <x:c r="R11" s="34" t="str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5" t="str">
        <x:v>choco chip</x:v>
      </x:c>
      <x:c r="G12" s="36" t="n">
        <x:v>27.5</x:v>
      </x:c>
      <x:c r="H12" s="36" t="n">
        <x:v>38.7</x:v>
      </x:c>
      <x:c r="I12" s="36" t="n">
        <x:v>49.7</x:v>
      </x:c>
      <x:c r="J12" s="36" t="n">
        <x:v>59.8</x:v>
      </x:c>
      <x:c r="K12" s="36" t="n">
        <x:v>70.9</x:v>
      </x:c>
      <x:c r="L12" s="36" t="n">
        <x:v>81.4</x:v>
      </x:c>
      <x:c r="M12" s="36" t="n">
        <x:v>92.1</x:v>
      </x:c>
      <x:c r="N12" s="37" t="n">
        <x:v>99.4</x:v>
      </x:c>
      <x:c r="O12" s="33"/>
      <x:c r="P12" s="35" t="str">
        <x:v>!</x:v>
      </x:c>
      <x:c r="Q12" s="36" t="str">
        <x:v>dark edge 체크</x:v>
      </x:c>
      <x:c r="R12" s="37" t="str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270" t="str">
        <x:v>PUFF / dome rise</x:v>
      </x:c>
      <x:c r="G15" s="271"/>
      <x:c r="H15" s="271"/>
      <x:c r="I15" s="271"/>
      <x:c r="J15" s="271"/>
      <x:c r="K15" s="271"/>
      <x:c r="L15" s="271"/>
      <x:c r="M15" s="271"/>
      <x:c r="N15" s="272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29" t="str">
        <x:v>base</x:v>
      </x:c>
      <x:c r="G16" s="30" t="n">
        <x:v>1.9</x:v>
      </x:c>
      <x:c r="H16" s="30" t="n">
        <x:v>3.2</x:v>
      </x:c>
      <x:c r="I16" s="30" t="n">
        <x:v>4.7</x:v>
      </x:c>
      <x:c r="J16" s="30" t="n">
        <x:v>5.9</x:v>
      </x:c>
      <x:c r="K16" s="30" t="n">
        <x:v>7</x:v>
      </x:c>
      <x:c r="L16" s="30" t="n">
        <x:v>8.4</x:v>
      </x:c>
      <x:c r="M16" s="30" t="n">
        <x:v>9.6</x:v>
      </x:c>
      <x:c r="N16" s="31" t="n">
        <x:v>10.9</x:v>
      </x:c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2" t="str">
        <x:v>Rum 2%</x:v>
      </x:c>
      <x:c r="G17" s="33" t="n">
        <x:v>2</x:v>
      </x:c>
      <x:c r="H17" s="33" t="n">
        <x:v>3.5</x:v>
      </x:c>
      <x:c r="I17" s="33" t="n">
        <x:v>5</x:v>
      </x:c>
      <x:c r="J17" s="33" t="n">
        <x:v>6.2</x:v>
      </x:c>
      <x:c r="K17" s="33" t="n">
        <x:v>7.7</x:v>
      </x:c>
      <x:c r="L17" s="33" t="n">
        <x:v>9.2</x:v>
      </x:c>
      <x:c r="M17" s="33" t="n">
        <x:v>10.4</x:v>
      </x:c>
      <x:c r="N17" s="34" t="n">
        <x:v>11.6</x:v>
      </x:c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2" t="str">
        <x:v>glaze</x:v>
      </x:c>
      <x:c r="G18" s="33" t="n">
        <x:v>2.3</x:v>
      </x:c>
      <x:c r="H18" s="33" t="n">
        <x:v>3.7</x:v>
      </x:c>
      <x:c r="I18" s="33" t="n">
        <x:v>4.9</x:v>
      </x:c>
      <x:c r="J18" s="33" t="n">
        <x:v>6.8</x:v>
      </x:c>
      <x:c r="K18" s="33" t="n">
        <x:v>7.8</x:v>
      </x:c>
      <x:c r="L18" s="33" t="n">
        <x:v>9.4</x:v>
      </x:c>
      <x:c r="M18" s="33" t="n">
        <x:v>10.6</x:v>
      </x:c>
      <x:c r="N18" s="34" t="n">
        <x:v>12.4</x:v>
      </x:c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5" t="str">
        <x:v>choco chip</x:v>
      </x:c>
      <x:c r="G19" s="36" t="n">
        <x:v>2.7</x:v>
      </x:c>
      <x:c r="H19" s="36" t="n">
        <x:v>4.4</x:v>
      </x:c>
      <x:c r="I19" s="36" t="n">
        <x:v>5.5</x:v>
      </x:c>
      <x:c r="J19" s="36" t="n">
        <x:v>6.9</x:v>
      </x:c>
      <x:c r="K19" s="36" t="n">
        <x:v>8.1</x:v>
      </x:c>
      <x:c r="L19" s="36" t="n">
        <x:v>10</x:v>
      </x:c>
      <x:c r="M19" s="36" t="n">
        <x:v>11</x:v>
      </x:c>
      <x:c r="N19" s="37" t="n">
        <x:v>12.4</x:v>
      </x:c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F2:R3"/>
    <x:mergeCell ref="F8:N8"/>
    <x:mergeCell ref="F15:N15"/>
  </x:mergeCells>
  <x:pageMargins left="0.7" right="0.7" top="0.75" bottom="0.75" header="0.3" footer="0.3"/>
  <x:drawing xmlns:r="http://schemas.openxmlformats.org/officeDocument/2006/relationships" r:id="Rdb7b6b6612a546da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171" t="str">
        <x:v>초코 195C Trial / core temp + puff split</x:v>
      </x:c>
      <x:c r="G2" s="172"/>
      <x:c r="H2" s="172"/>
      <x:c r="I2" s="172"/>
      <x:c r="J2" s="172"/>
      <x:c r="K2" s="172"/>
      <x:c r="L2" s="172"/>
      <x:c r="M2" s="172"/>
      <x:c r="N2" s="172"/>
      <x:c r="O2" s="172"/>
      <x:c r="P2" s="172"/>
      <x:c r="Q2" s="172"/>
      <x:c r="R2" s="17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174"/>
      <x:c r="G3" s="175"/>
      <x:c r="H3" s="175"/>
      <x:c r="I3" s="175"/>
      <x:c r="J3" s="175"/>
      <x:c r="K3" s="175"/>
      <x:c r="L3" s="175"/>
      <x:c r="M3" s="175"/>
      <x:c r="N3" s="175"/>
      <x:c r="O3" s="175"/>
      <x:c r="P3" s="175"/>
      <x:c r="Q3" s="175"/>
      <x:c r="R3" s="176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214" t="str">
        <x:v>Time</x:v>
      </x:c>
      <x:c r="G6" s="215" t="n">
        <x:v>0</x:v>
      </x:c>
      <x:c r="H6" s="215" t="n">
        <x:v>3</x:v>
      </x:c>
      <x:c r="I6" s="215" t="n">
        <x:v>6</x:v>
      </x:c>
      <x:c r="J6" s="215" t="n">
        <x:v>9</x:v>
      </x:c>
      <x:c r="K6" s="215" t="n">
        <x:v>12</x:v>
      </x:c>
      <x:c r="L6" s="215" t="n">
        <x:v>15</x:v>
      </x:c>
      <x:c r="M6" s="215" t="n">
        <x:v>18</x:v>
      </x:c>
      <x:c r="N6" s="216" t="n">
        <x:v>21</x:v>
      </x:c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 t="str">
        <x:v>min</x:v>
      </x:c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/>
      <x:c r="P7" s="29" t="str">
        <x:v>memo</x:v>
      </x:c>
      <x:c r="Q7" s="30" t="str">
        <x:v>value</x:v>
      </x:c>
      <x:c r="R7" s="31" t="str">
        <x:v>unit</x:v>
      </x:c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33"/>
      <x:c r="D8" s="33"/>
      <x:c r="E8" s="33"/>
      <x:c r="F8" s="242" t="str">
        <x:v>CORE TEMP (℃)</x:v>
      </x:c>
      <x:c r="G8" s="243"/>
      <x:c r="H8" s="243"/>
      <x:c r="I8" s="243"/>
      <x:c r="J8" s="243"/>
      <x:c r="K8" s="243"/>
      <x:c r="L8" s="243"/>
      <x:c r="M8" s="243"/>
      <x:c r="N8" s="244"/>
      <x:c r="O8" s="33"/>
      <x:c r="P8" s="32" t="str">
        <x:v>oven offset</x:v>
      </x:c>
      <x:c r="Q8" s="33" t="n">
        <x:v>2</x:v>
      </x:c>
      <x:c r="R8" s="34" t="str">
        <x:v>℃</x:v>
      </x:c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33"/>
      <x:c r="D9" s="33"/>
      <x:c r="E9" s="33"/>
      <x:c r="F9" s="29" t="str">
        <x:v>base</x:v>
      </x:c>
      <x:c r="G9" s="30" t="n">
        <x:v>27.7</x:v>
      </x:c>
      <x:c r="H9" s="30" t="n">
        <x:v>39.6</x:v>
      </x:c>
      <x:c r="I9" s="30" t="n">
        <x:v>49.6</x:v>
      </x:c>
      <x:c r="J9" s="30" t="n">
        <x:v>60.3</x:v>
      </x:c>
      <x:c r="K9" s="30" t="n">
        <x:v>70.2</x:v>
      </x:c>
      <x:c r="L9" s="30" t="n">
        <x:v>80.9</x:v>
      </x:c>
      <x:c r="M9" s="30" t="n">
        <x:v>92.1</x:v>
      </x:c>
      <x:c r="N9" s="31" t="n">
        <x:v>99.4</x:v>
      </x:c>
      <x:c r="O9" s="33"/>
      <x:c r="P9" s="32" t="str">
        <x:v>probe</x:v>
      </x:c>
      <x:c r="Q9" s="33" t="str">
        <x:v>K-type</x:v>
      </x:c>
      <x:c r="R9" s="34" t="str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3"/>
      <x:c r="E10" s="33"/>
      <x:c r="F10" s="32" t="str">
        <x:v>Rum 2%</x:v>
      </x:c>
      <x:c r="G10" s="33" t="n">
        <x:v>28.4</x:v>
      </x:c>
      <x:c r="H10" s="33" t="n">
        <x:v>39.6</x:v>
      </x:c>
      <x:c r="I10" s="33" t="n">
        <x:v>50.7</x:v>
      </x:c>
      <x:c r="J10" s="33" t="n">
        <x:v>61.4</x:v>
      </x:c>
      <x:c r="K10" s="33" t="n">
        <x:v>71.2</x:v>
      </x:c>
      <x:c r="L10" s="33" t="n">
        <x:v>82.1</x:v>
      </x:c>
      <x:c r="M10" s="33" t="n">
        <x:v>92.1</x:v>
      </x:c>
      <x:c r="N10" s="34" t="n">
        <x:v>99.4</x:v>
      </x:c>
      <x:c r="O10" s="33"/>
      <x:c r="P10" s="32" t="str">
        <x:v>crumb</x:v>
      </x:c>
      <x:c r="Q10" s="33" t="str">
        <x:v>visual</x:v>
      </x:c>
      <x:c r="R10" s="34" t="str">
        <x:v>1~5</x:v>
      </x:c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2" t="str">
        <x:v>glaze</x:v>
      </x:c>
      <x:c r="G11" s="33" t="n">
        <x:v>29.4</x:v>
      </x:c>
      <x:c r="H11" s="33" t="n">
        <x:v>40.3</x:v>
      </x:c>
      <x:c r="I11" s="33" t="n">
        <x:v>50.4</x:v>
      </x:c>
      <x:c r="J11" s="33" t="n">
        <x:v>61.6</x:v>
      </x:c>
      <x:c r="K11" s="33" t="n">
        <x:v>71.9</x:v>
      </x:c>
      <x:c r="L11" s="33" t="n">
        <x:v>82.8</x:v>
      </x:c>
      <x:c r="M11" s="33" t="n">
        <x:v>93.4</x:v>
      </x:c>
      <x:c r="N11" s="34" t="n">
        <x:v>99.4</x:v>
      </x:c>
      <x:c r="O11" s="33"/>
      <x:c r="P11" s="32" t="str">
        <x:v>note</x:v>
      </x:c>
      <x:c r="Q11" s="33" t="str">
        <x:v>초코칩 녹음</x:v>
      </x:c>
      <x:c r="R11" s="34" t="str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5" t="str">
        <x:v>choco chip</x:v>
      </x:c>
      <x:c r="G12" s="36" t="n">
        <x:v>30.2</x:v>
      </x:c>
      <x:c r="H12" s="36" t="n">
        <x:v>41.1</x:v>
      </x:c>
      <x:c r="I12" s="36" t="n">
        <x:v>52</x:v>
      </x:c>
      <x:c r="J12" s="36" t="n">
        <x:v>62.4</x:v>
      </x:c>
      <x:c r="K12" s="36" t="n">
        <x:v>72.6</x:v>
      </x:c>
      <x:c r="L12" s="36" t="n">
        <x:v>83.1</x:v>
      </x:c>
      <x:c r="M12" s="36" t="n">
        <x:v>94.2</x:v>
      </x:c>
      <x:c r="N12" s="37" t="n">
        <x:v>99.4</x:v>
      </x:c>
      <x:c r="O12" s="33"/>
      <x:c r="P12" s="35" t="str">
        <x:v>!</x:v>
      </x:c>
      <x:c r="Q12" s="36" t="str">
        <x:v>dark edge 체크</x:v>
      </x:c>
      <x:c r="R12" s="37" t="str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270" t="str">
        <x:v>PUFF / dome rise</x:v>
      </x:c>
      <x:c r="G15" s="271"/>
      <x:c r="H15" s="271"/>
      <x:c r="I15" s="271"/>
      <x:c r="J15" s="271"/>
      <x:c r="K15" s="271"/>
      <x:c r="L15" s="271"/>
      <x:c r="M15" s="271"/>
      <x:c r="N15" s="272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29" t="str">
        <x:v>base</x:v>
      </x:c>
      <x:c r="G16" s="30" t="n">
        <x:v>1.9</x:v>
      </x:c>
      <x:c r="H16" s="30" t="n">
        <x:v>3.4</x:v>
      </x:c>
      <x:c r="I16" s="30" t="n">
        <x:v>4.9</x:v>
      </x:c>
      <x:c r="J16" s="30" t="n">
        <x:v>6</x:v>
      </x:c>
      <x:c r="K16" s="30" t="n">
        <x:v>7.5</x:v>
      </x:c>
      <x:c r="L16" s="30" t="n">
        <x:v>8.6</x:v>
      </x:c>
      <x:c r="M16" s="30" t="n">
        <x:v>10.5</x:v>
      </x:c>
      <x:c r="N16" s="31" t="n">
        <x:v>11.7</x:v>
      </x:c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2" t="str">
        <x:v>Rum 2%</x:v>
      </x:c>
      <x:c r="G17" s="33" t="n">
        <x:v>2.2</x:v>
      </x:c>
      <x:c r="H17" s="33" t="n">
        <x:v>3.9</x:v>
      </x:c>
      <x:c r="I17" s="33" t="n">
        <x:v>5.1</x:v>
      </x:c>
      <x:c r="J17" s="33" t="n">
        <x:v>6.8</x:v>
      </x:c>
      <x:c r="K17" s="33" t="n">
        <x:v>7.7</x:v>
      </x:c>
      <x:c r="L17" s="33" t="n">
        <x:v>9.1</x:v>
      </x:c>
      <x:c r="M17" s="33" t="n">
        <x:v>10.3</x:v>
      </x:c>
      <x:c r="N17" s="34" t="n">
        <x:v>11.8</x:v>
      </x:c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2" t="str">
        <x:v>glaze</x:v>
      </x:c>
      <x:c r="G18" s="33" t="n">
        <x:v>2.9</x:v>
      </x:c>
      <x:c r="H18" s="33" t="n">
        <x:v>4.1</x:v>
      </x:c>
      <x:c r="I18" s="33" t="n">
        <x:v>5.2</x:v>
      </x:c>
      <x:c r="J18" s="33" t="n">
        <x:v>6.8</x:v>
      </x:c>
      <x:c r="K18" s="33" t="n">
        <x:v>8.1</x:v>
      </x:c>
      <x:c r="L18" s="33" t="n">
        <x:v>9.8</x:v>
      </x:c>
      <x:c r="M18" s="33" t="n">
        <x:v>10.8</x:v>
      </x:c>
      <x:c r="N18" s="34" t="n">
        <x:v>12.8</x:v>
      </x:c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5" t="str">
        <x:v>choco chip</x:v>
      </x:c>
      <x:c r="G19" s="36" t="n">
        <x:v>3</x:v>
      </x:c>
      <x:c r="H19" s="36" t="n">
        <x:v>4.7</x:v>
      </x:c>
      <x:c r="I19" s="36" t="n">
        <x:v>6.2</x:v>
      </x:c>
      <x:c r="J19" s="36" t="n">
        <x:v>7.1</x:v>
      </x:c>
      <x:c r="K19" s="36" t="n">
        <x:v>8.4</x:v>
      </x:c>
      <x:c r="L19" s="36" t="n">
        <x:v>10.4</x:v>
      </x:c>
      <x:c r="M19" s="36" t="n">
        <x:v>11.4</x:v>
      </x:c>
      <x:c r="N19" s="37" t="n">
        <x:v>13</x:v>
      </x:c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F2:R3"/>
    <x:mergeCell ref="F8:N8"/>
    <x:mergeCell ref="F15:N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171" t="str">
        <x:v>초코 200C Trial / core temp + puff split</x:v>
      </x:c>
      <x:c r="G2" s="172"/>
      <x:c r="H2" s="172"/>
      <x:c r="I2" s="172"/>
      <x:c r="J2" s="172"/>
      <x:c r="K2" s="172"/>
      <x:c r="L2" s="172"/>
      <x:c r="M2" s="172"/>
      <x:c r="N2" s="172"/>
      <x:c r="O2" s="172"/>
      <x:c r="P2" s="172"/>
      <x:c r="Q2" s="172"/>
      <x:c r="R2" s="17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174"/>
      <x:c r="G3" s="175"/>
      <x:c r="H3" s="175"/>
      <x:c r="I3" s="175"/>
      <x:c r="J3" s="175"/>
      <x:c r="K3" s="175"/>
      <x:c r="L3" s="175"/>
      <x:c r="M3" s="175"/>
      <x:c r="N3" s="175"/>
      <x:c r="O3" s="175"/>
      <x:c r="P3" s="175"/>
      <x:c r="Q3" s="175"/>
      <x:c r="R3" s="176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214" t="str">
        <x:v>Time</x:v>
      </x:c>
      <x:c r="G6" s="215" t="n">
        <x:v>0</x:v>
      </x:c>
      <x:c r="H6" s="215" t="n">
        <x:v>3</x:v>
      </x:c>
      <x:c r="I6" s="215" t="n">
        <x:v>6</x:v>
      </x:c>
      <x:c r="J6" s="215" t="n">
        <x:v>9</x:v>
      </x:c>
      <x:c r="K6" s="215" t="n">
        <x:v>12</x:v>
      </x:c>
      <x:c r="L6" s="215" t="n">
        <x:v>15</x:v>
      </x:c>
      <x:c r="M6" s="215" t="n">
        <x:v>18</x:v>
      </x:c>
      <x:c r="N6" s="216" t="n">
        <x:v>21</x:v>
      </x:c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 t="str">
        <x:v>min</x:v>
      </x:c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/>
      <x:c r="P7" s="29" t="str">
        <x:v>memo</x:v>
      </x:c>
      <x:c r="Q7" s="30" t="str">
        <x:v>value</x:v>
      </x:c>
      <x:c r="R7" s="31" t="str">
        <x:v>unit</x:v>
      </x:c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33"/>
      <x:c r="D8" s="33"/>
      <x:c r="E8" s="33"/>
      <x:c r="F8" s="242" t="str">
        <x:v>CORE TEMP (℃)</x:v>
      </x:c>
      <x:c r="G8" s="243"/>
      <x:c r="H8" s="243"/>
      <x:c r="I8" s="243"/>
      <x:c r="J8" s="243"/>
      <x:c r="K8" s="243"/>
      <x:c r="L8" s="243"/>
      <x:c r="M8" s="243"/>
      <x:c r="N8" s="244"/>
      <x:c r="O8" s="33"/>
      <x:c r="P8" s="32" t="str">
        <x:v>oven offset</x:v>
      </x:c>
      <x:c r="Q8" s="33" t="n">
        <x:v>0</x:v>
      </x:c>
      <x:c r="R8" s="34" t="str">
        <x:v>℃</x:v>
      </x:c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33"/>
      <x:c r="D9" s="33"/>
      <x:c r="E9" s="33"/>
      <x:c r="F9" s="29" t="str">
        <x:v>base</x:v>
      </x:c>
      <x:c r="G9" s="30" t="n">
        <x:v>29</x:v>
      </x:c>
      <x:c r="H9" s="30" t="n">
        <x:v>40.6</x:v>
      </x:c>
      <x:c r="I9" s="30" t="n">
        <x:v>51.1</x:v>
      </x:c>
      <x:c r="J9" s="30" t="n">
        <x:v>61.8</x:v>
      </x:c>
      <x:c r="K9" s="30" t="n">
        <x:v>72</x:v>
      </x:c>
      <x:c r="L9" s="30" t="n">
        <x:v>82.1</x:v>
      </x:c>
      <x:c r="M9" s="30" t="n">
        <x:v>93.8</x:v>
      </x:c>
      <x:c r="N9" s="31" t="n">
        <x:v>99.4</x:v>
      </x:c>
      <x:c r="O9" s="33"/>
      <x:c r="P9" s="32" t="str">
        <x:v>probe</x:v>
      </x:c>
      <x:c r="Q9" s="33" t="str">
        <x:v>K-type</x:v>
      </x:c>
      <x:c r="R9" s="34" t="str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3"/>
      <x:c r="E10" s="33"/>
      <x:c r="F10" s="32" t="str">
        <x:v>Rum 2%</x:v>
      </x:c>
      <x:c r="G10" s="33" t="n">
        <x:v>30.3</x:v>
      </x:c>
      <x:c r="H10" s="33" t="n">
        <x:v>40.8</x:v>
      </x:c>
      <x:c r="I10" s="33" t="n">
        <x:v>50.9</x:v>
      </x:c>
      <x:c r="J10" s="33" t="n">
        <x:v>62.5</x:v>
      </x:c>
      <x:c r="K10" s="33" t="n">
        <x:v>72.5</x:v>
      </x:c>
      <x:c r="L10" s="33" t="n">
        <x:v>82.5</x:v>
      </x:c>
      <x:c r="M10" s="33" t="n">
        <x:v>94.4</x:v>
      </x:c>
      <x:c r="N10" s="34" t="n">
        <x:v>99.4</x:v>
      </x:c>
      <x:c r="O10" s="33"/>
      <x:c r="P10" s="32" t="str">
        <x:v>crumb</x:v>
      </x:c>
      <x:c r="Q10" s="33" t="str">
        <x:v>visual</x:v>
      </x:c>
      <x:c r="R10" s="34" t="str">
        <x:v>1~5</x:v>
      </x:c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2" t="str">
        <x:v>glaze</x:v>
      </x:c>
      <x:c r="G11" s="33" t="n">
        <x:v>29.8</x:v>
      </x:c>
      <x:c r="H11" s="33" t="n">
        <x:v>41.3</x:v>
      </x:c>
      <x:c r="I11" s="33" t="n">
        <x:v>51.7</x:v>
      </x:c>
      <x:c r="J11" s="33" t="n">
        <x:v>61.8</x:v>
      </x:c>
      <x:c r="K11" s="33" t="n">
        <x:v>73.5</x:v>
      </x:c>
      <x:c r="L11" s="33" t="n">
        <x:v>83.8</x:v>
      </x:c>
      <x:c r="M11" s="33" t="n">
        <x:v>94.7</x:v>
      </x:c>
      <x:c r="N11" s="34" t="n">
        <x:v>99.4</x:v>
      </x:c>
      <x:c r="O11" s="33"/>
      <x:c r="P11" s="32" t="str">
        <x:v>note</x:v>
      </x:c>
      <x:c r="Q11" s="33" t="str">
        <x:v>초코칩 녹음</x:v>
      </x:c>
      <x:c r="R11" s="34" t="str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5" t="str">
        <x:v>choco chip</x:v>
      </x:c>
      <x:c r="G12" s="36" t="n">
        <x:v>31.4</x:v>
      </x:c>
      <x:c r="H12" s="36" t="n">
        <x:v>41.4</x:v>
      </x:c>
      <x:c r="I12" s="36" t="n">
        <x:v>51.9</x:v>
      </x:c>
      <x:c r="J12" s="36" t="n">
        <x:v>63.1</x:v>
      </x:c>
      <x:c r="K12" s="36" t="n">
        <x:v>73.1</x:v>
      </x:c>
      <x:c r="L12" s="36" t="n">
        <x:v>84.1</x:v>
      </x:c>
      <x:c r="M12" s="36" t="n">
        <x:v>95.3</x:v>
      </x:c>
      <x:c r="N12" s="37" t="n">
        <x:v>99.4</x:v>
      </x:c>
      <x:c r="O12" s="33"/>
      <x:c r="P12" s="35" t="str">
        <x:v>!</x:v>
      </x:c>
      <x:c r="Q12" s="36" t="str">
        <x:v>dark edge 체크</x:v>
      </x:c>
      <x:c r="R12" s="37" t="str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270" t="str">
        <x:v>PUFF / dome rise</x:v>
      </x:c>
      <x:c r="G15" s="271"/>
      <x:c r="H15" s="271"/>
      <x:c r="I15" s="271"/>
      <x:c r="J15" s="271"/>
      <x:c r="K15" s="271"/>
      <x:c r="L15" s="271"/>
      <x:c r="M15" s="271"/>
      <x:c r="N15" s="272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29" t="str">
        <x:v>base</x:v>
      </x:c>
      <x:c r="G16" s="30" t="n">
        <x:v>1.5</x:v>
      </x:c>
      <x:c r="H16" s="30" t="n">
        <x:v>3.2</x:v>
      </x:c>
      <x:c r="I16" s="30" t="n">
        <x:v>4.8</x:v>
      </x:c>
      <x:c r="J16" s="30" t="n">
        <x:v>5.6</x:v>
      </x:c>
      <x:c r="K16" s="30" t="n">
        <x:v>7.3</x:v>
      </x:c>
      <x:c r="L16" s="30" t="n">
        <x:v>9</x:v>
      </x:c>
      <x:c r="M16" s="30" t="n">
        <x:v>10</x:v>
      </x:c>
      <x:c r="N16" s="31" t="n">
        <x:v>11.4</x:v>
      </x:c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2" t="str">
        <x:v>Rum 2%</x:v>
      </x:c>
      <x:c r="G17" s="33" t="n">
        <x:v>2.5</x:v>
      </x:c>
      <x:c r="H17" s="33" t="n">
        <x:v>3.4</x:v>
      </x:c>
      <x:c r="I17" s="33" t="n">
        <x:v>4.7</x:v>
      </x:c>
      <x:c r="J17" s="33" t="n">
        <x:v>6.4</x:v>
      </x:c>
      <x:c r="K17" s="33" t="n">
        <x:v>7.6</x:v>
      </x:c>
      <x:c r="L17" s="33" t="n">
        <x:v>9.2</x:v>
      </x:c>
      <x:c r="M17" s="33" t="n">
        <x:v>10.2</x:v>
      </x:c>
      <x:c r="N17" s="34" t="n">
        <x:v>11.7</x:v>
      </x:c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2" t="str">
        <x:v>glaze</x:v>
      </x:c>
      <x:c r="G18" s="33" t="n">
        <x:v>2.5</x:v>
      </x:c>
      <x:c r="H18" s="33" t="n">
        <x:v>4</x:v>
      </x:c>
      <x:c r="I18" s="33" t="n">
        <x:v>5.2</x:v>
      </x:c>
      <x:c r="J18" s="33" t="n">
        <x:v>6.8</x:v>
      </x:c>
      <x:c r="K18" s="33" t="n">
        <x:v>8.2</x:v>
      </x:c>
      <x:c r="L18" s="33" t="n">
        <x:v>9.4</x:v>
      </x:c>
      <x:c r="M18" s="33" t="n">
        <x:v>11</x:v>
      </x:c>
      <x:c r="N18" s="34" t="n">
        <x:v>11.9</x:v>
      </x:c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5" t="str">
        <x:v>choco chip</x:v>
      </x:c>
      <x:c r="G19" s="36" t="n">
        <x:v>3.1</x:v>
      </x:c>
      <x:c r="H19" s="36" t="n">
        <x:v>4.5</x:v>
      </x:c>
      <x:c r="I19" s="36" t="n">
        <x:v>5.7</x:v>
      </x:c>
      <x:c r="J19" s="36" t="n">
        <x:v>6.8</x:v>
      </x:c>
      <x:c r="K19" s="36" t="n">
        <x:v>8.5</x:v>
      </x:c>
      <x:c r="L19" s="36" t="n">
        <x:v>10.1</x:v>
      </x:c>
      <x:c r="M19" s="36" t="n">
        <x:v>11.3</x:v>
      </x:c>
      <x:c r="N19" s="37" t="n">
        <x:v>12.9</x:v>
      </x:c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F2:R3"/>
    <x:mergeCell ref="F8:N8"/>
    <x:mergeCell ref="F15:N15"/>
  </x:mergeCells>
  <x:pageMargins left="0.7" right="0.7" top="0.75" bottom="0.75" header="0.3" footer="0.3"/>
  <x:drawing xmlns:r="http://schemas.openxmlformats.org/officeDocument/2006/relationships" r:id="R655114fb7278423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171" t="str">
        <x:v>초코 205C Trial / core temp + puff split</x:v>
      </x:c>
      <x:c r="G2" s="172"/>
      <x:c r="H2" s="172"/>
      <x:c r="I2" s="172"/>
      <x:c r="J2" s="172"/>
      <x:c r="K2" s="172"/>
      <x:c r="L2" s="172"/>
      <x:c r="M2" s="172"/>
      <x:c r="N2" s="172"/>
      <x:c r="O2" s="172"/>
      <x:c r="P2" s="172"/>
      <x:c r="Q2" s="172"/>
      <x:c r="R2" s="17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174"/>
      <x:c r="G3" s="175"/>
      <x:c r="H3" s="175"/>
      <x:c r="I3" s="175"/>
      <x:c r="J3" s="175"/>
      <x:c r="K3" s="175"/>
      <x:c r="L3" s="175"/>
      <x:c r="M3" s="175"/>
      <x:c r="N3" s="175"/>
      <x:c r="O3" s="175"/>
      <x:c r="P3" s="175"/>
      <x:c r="Q3" s="175"/>
      <x:c r="R3" s="176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214" t="str">
        <x:v>Time</x:v>
      </x:c>
      <x:c r="G6" s="215" t="n">
        <x:v>0</x:v>
      </x:c>
      <x:c r="H6" s="215" t="n">
        <x:v>3</x:v>
      </x:c>
      <x:c r="I6" s="215" t="n">
        <x:v>6</x:v>
      </x:c>
      <x:c r="J6" s="215" t="n">
        <x:v>9</x:v>
      </x:c>
      <x:c r="K6" s="215" t="n">
        <x:v>12</x:v>
      </x:c>
      <x:c r="L6" s="215" t="n">
        <x:v>15</x:v>
      </x:c>
      <x:c r="M6" s="215" t="n">
        <x:v>18</x:v>
      </x:c>
      <x:c r="N6" s="216" t="n">
        <x:v>21</x:v>
      </x:c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 t="str">
        <x:v>min</x:v>
      </x:c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/>
      <x:c r="P7" s="29" t="str">
        <x:v>memo</x:v>
      </x:c>
      <x:c r="Q7" s="30" t="str">
        <x:v>value</x:v>
      </x:c>
      <x:c r="R7" s="31" t="str">
        <x:v>unit</x:v>
      </x:c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33"/>
      <x:c r="D8" s="33"/>
      <x:c r="E8" s="33"/>
      <x:c r="F8" s="242" t="str">
        <x:v>CORE TEMP (℃)</x:v>
      </x:c>
      <x:c r="G8" s="243"/>
      <x:c r="H8" s="243"/>
      <x:c r="I8" s="243"/>
      <x:c r="J8" s="243"/>
      <x:c r="K8" s="243"/>
      <x:c r="L8" s="243"/>
      <x:c r="M8" s="243"/>
      <x:c r="N8" s="244"/>
      <x:c r="O8" s="33"/>
      <x:c r="P8" s="32" t="str">
        <x:v>oven offset</x:v>
      </x:c>
      <x:c r="Q8" s="33" t="n">
        <x:v>3</x:v>
      </x:c>
      <x:c r="R8" s="34" t="str">
        <x:v>℃</x:v>
      </x:c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33"/>
      <x:c r="D9" s="33"/>
      <x:c r="E9" s="33"/>
      <x:c r="F9" s="29" t="str">
        <x:v>base</x:v>
      </x:c>
      <x:c r="G9" s="30" t="n">
        <x:v>30.4</x:v>
      </x:c>
      <x:c r="H9" s="30" t="n">
        <x:v>40.9</x:v>
      </x:c>
      <x:c r="I9" s="30" t="n">
        <x:v>52.2</x:v>
      </x:c>
      <x:c r="J9" s="30" t="n">
        <x:v>61.7</x:v>
      </x:c>
      <x:c r="K9" s="30" t="n">
        <x:v>73.3</x:v>
      </x:c>
      <x:c r="L9" s="30" t="n">
        <x:v>84.2</x:v>
      </x:c>
      <x:c r="M9" s="30" t="n">
        <x:v>93.5</x:v>
      </x:c>
      <x:c r="N9" s="31" t="n">
        <x:v>99.4</x:v>
      </x:c>
      <x:c r="O9" s="33"/>
      <x:c r="P9" s="32" t="str">
        <x:v>probe</x:v>
      </x:c>
      <x:c r="Q9" s="33" t="str">
        <x:v>K-type</x:v>
      </x:c>
      <x:c r="R9" s="34" t="str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3"/>
      <x:c r="E10" s="33"/>
      <x:c r="F10" s="32" t="str">
        <x:v>Rum 2%</x:v>
      </x:c>
      <x:c r="G10" s="33" t="n">
        <x:v>31.1</x:v>
      </x:c>
      <x:c r="H10" s="33" t="n">
        <x:v>41.3</x:v>
      </x:c>
      <x:c r="I10" s="33" t="n">
        <x:v>52.6</x:v>
      </x:c>
      <x:c r="J10" s="33" t="n">
        <x:v>62.5</x:v>
      </x:c>
      <x:c r="K10" s="33" t="n">
        <x:v>72.8</x:v>
      </x:c>
      <x:c r="L10" s="33" t="n">
        <x:v>84</x:v>
      </x:c>
      <x:c r="M10" s="33" t="n">
        <x:v>94.2</x:v>
      </x:c>
      <x:c r="N10" s="34" t="n">
        <x:v>99.4</x:v>
      </x:c>
      <x:c r="O10" s="33"/>
      <x:c r="P10" s="32" t="str">
        <x:v>crumb</x:v>
      </x:c>
      <x:c r="Q10" s="33" t="str">
        <x:v>visual</x:v>
      </x:c>
      <x:c r="R10" s="34" t="str">
        <x:v>1~5</x:v>
      </x:c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2" t="str">
        <x:v>glaze</x:v>
      </x:c>
      <x:c r="G11" s="33" t="n">
        <x:v>32</x:v>
      </x:c>
      <x:c r="H11" s="33" t="n">
        <x:v>42.1</x:v>
      </x:c>
      <x:c r="I11" s="33" t="n">
        <x:v>52.3</x:v>
      </x:c>
      <x:c r="J11" s="33" t="n">
        <x:v>64</x:v>
      </x:c>
      <x:c r="K11" s="33" t="n">
        <x:v>74.4</x:v>
      </x:c>
      <x:c r="L11" s="33" t="n">
        <x:v>85.1</x:v>
      </x:c>
      <x:c r="M11" s="33" t="n">
        <x:v>95</x:v>
      </x:c>
      <x:c r="N11" s="34" t="n">
        <x:v>99.4</x:v>
      </x:c>
      <x:c r="O11" s="33"/>
      <x:c r="P11" s="32" t="str">
        <x:v>note</x:v>
      </x:c>
      <x:c r="Q11" s="33" t="str">
        <x:v>초코칩 녹음</x:v>
      </x:c>
      <x:c r="R11" s="34" t="str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5" t="str">
        <x:v>choco chip</x:v>
      </x:c>
      <x:c r="G12" s="36" t="n">
        <x:v>31.9</x:v>
      </x:c>
      <x:c r="H12" s="36" t="n">
        <x:v>42.1</x:v>
      </x:c>
      <x:c r="I12" s="36" t="n">
        <x:v>53.4</x:v>
      </x:c>
      <x:c r="J12" s="36" t="n">
        <x:v>64.2</x:v>
      </x:c>
      <x:c r="K12" s="36" t="n">
        <x:v>74.7</x:v>
      </x:c>
      <x:c r="L12" s="36" t="n">
        <x:v>85.6</x:v>
      </x:c>
      <x:c r="M12" s="36" t="n">
        <x:v>96.2</x:v>
      </x:c>
      <x:c r="N12" s="37" t="n">
        <x:v>99.4</x:v>
      </x:c>
      <x:c r="O12" s="33"/>
      <x:c r="P12" s="35" t="str">
        <x:v>!</x:v>
      </x:c>
      <x:c r="Q12" s="36" t="str">
        <x:v>dark edge 체크</x:v>
      </x:c>
      <x:c r="R12" s="37" t="str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270" t="str">
        <x:v>PUFF / dome rise</x:v>
      </x:c>
      <x:c r="G15" s="271"/>
      <x:c r="H15" s="271"/>
      <x:c r="I15" s="271"/>
      <x:c r="J15" s="271"/>
      <x:c r="K15" s="271"/>
      <x:c r="L15" s="271"/>
      <x:c r="M15" s="271"/>
      <x:c r="N15" s="272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29" t="str">
        <x:v>base</x:v>
      </x:c>
      <x:c r="G16" s="30" t="n">
        <x:v>1.3</x:v>
      </x:c>
      <x:c r="H16" s="30" t="n">
        <x:v>2.7</x:v>
      </x:c>
      <x:c r="I16" s="30" t="n">
        <x:v>4.6</x:v>
      </x:c>
      <x:c r="J16" s="30" t="n">
        <x:v>5.7</x:v>
      </x:c>
      <x:c r="K16" s="30" t="n">
        <x:v>7.2</x:v>
      </x:c>
      <x:c r="L16" s="30" t="n">
        <x:v>8.8</x:v>
      </x:c>
      <x:c r="M16" s="30" t="n">
        <x:v>10</x:v>
      </x:c>
      <x:c r="N16" s="31" t="n">
        <x:v>11.4</x:v>
      </x:c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2" t="str">
        <x:v>Rum 2%</x:v>
      </x:c>
      <x:c r="G17" s="33" t="n">
        <x:v>1.8</x:v>
      </x:c>
      <x:c r="H17" s="33" t="n">
        <x:v>3.1</x:v>
      </x:c>
      <x:c r="I17" s="33" t="n">
        <x:v>4.8</x:v>
      </x:c>
      <x:c r="J17" s="33" t="n">
        <x:v>5.8</x:v>
      </x:c>
      <x:c r="K17" s="33" t="n">
        <x:v>7.6</x:v>
      </x:c>
      <x:c r="L17" s="33" t="n">
        <x:v>8.9</x:v>
      </x:c>
      <x:c r="M17" s="33" t="n">
        <x:v>10.4</x:v>
      </x:c>
      <x:c r="N17" s="34" t="n">
        <x:v>11.6</x:v>
      </x:c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2" t="str">
        <x:v>glaze</x:v>
      </x:c>
      <x:c r="G18" s="33" t="n">
        <x:v>2.7</x:v>
      </x:c>
      <x:c r="H18" s="33" t="n">
        <x:v>3.8</x:v>
      </x:c>
      <x:c r="I18" s="33" t="n">
        <x:v>5.2</x:v>
      </x:c>
      <x:c r="J18" s="33" t="n">
        <x:v>6.3</x:v>
      </x:c>
      <x:c r="K18" s="33" t="n">
        <x:v>7.9</x:v>
      </x:c>
      <x:c r="L18" s="33" t="n">
        <x:v>9.5</x:v>
      </x:c>
      <x:c r="M18" s="33" t="n">
        <x:v>10.8</x:v>
      </x:c>
      <x:c r="N18" s="34" t="n">
        <x:v>11.9</x:v>
      </x:c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5" t="str">
        <x:v>choco chip</x:v>
      </x:c>
      <x:c r="G19" s="36" t="n">
        <x:v>3</x:v>
      </x:c>
      <x:c r="H19" s="36" t="n">
        <x:v>3.9</x:v>
      </x:c>
      <x:c r="I19" s="36" t="n">
        <x:v>5.7</x:v>
      </x:c>
      <x:c r="J19" s="36" t="n">
        <x:v>6.7</x:v>
      </x:c>
      <x:c r="K19" s="36" t="n">
        <x:v>8.4</x:v>
      </x:c>
      <x:c r="L19" s="36" t="n">
        <x:v>9.5</x:v>
      </x:c>
      <x:c r="M19" s="36" t="n">
        <x:v>10.8</x:v>
      </x:c>
      <x:c r="N19" s="37" t="n">
        <x:v>12.3</x:v>
      </x:c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F2:R3"/>
    <x:mergeCell ref="F8:N8"/>
    <x:mergeCell ref="F15:N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3">
      <x:c r="D3" s="307" t="str">
        <x:v>초코 option analysis / sale-rate</x:v>
      </x:c>
      <x:c r="E3" s="308"/>
      <x:c r="F3" s="308"/>
      <x:c r="G3" s="308"/>
      <x:c r="H3" s="308"/>
      <x:c r="I3" s="308"/>
      <x:c r="J3" s="308"/>
      <x:c r="K3" s="308"/>
      <x:c r="L3" s="308"/>
      <x:c r="M3" s="308"/>
      <x:c r="N3" s="309"/>
    </x:row>
    <x:row r="4">
      <x:c r="D4" s="310"/>
      <x:c r="E4" s="311"/>
      <x:c r="F4" s="311"/>
      <x:c r="G4" s="311"/>
      <x:c r="H4" s="311"/>
      <x:c r="I4" s="311"/>
      <x:c r="J4" s="311"/>
      <x:c r="K4" s="311"/>
      <x:c r="L4" s="311"/>
      <x:c r="M4" s="311"/>
      <x:c r="N4" s="312"/>
    </x:row>
    <x:row r="7">
      <x:c r="D7" s="58" t="str">
        <x:v>metric</x:v>
      </x:c>
      <x:c r="E7" s="59" t="str">
        <x:v>기본</x:v>
      </x:c>
      <x:c r="F7" s="59" t="str">
        <x:v>럼 추가</x:v>
      </x:c>
      <x:c r="G7" s="59" t="str">
        <x:v>설탕 코팅</x:v>
      </x:c>
      <x:c r="H7" s="59" t="str">
        <x:v>토핑</x:v>
      </x:c>
      <x:c r="I7" s="59" t="str">
        <x:v>럼+토핑</x:v>
      </x:c>
      <x:c r="J7" s="60" t="str">
        <x:v>코팅+토핑</x:v>
      </x:c>
    </x:row>
    <x:row r="8">
      <x:c r="D8" s="12" t="str">
        <x:v>Δcost(₩)</x:v>
      </x:c>
      <x:c r="E8" s="13" t="n">
        <x:v>0</x:v>
      </x:c>
      <x:c r="F8" s="13" t="n">
        <x:v>28</x:v>
      </x:c>
      <x:c r="G8" s="13" t="n">
        <x:v>18</x:v>
      </x:c>
      <x:c r="H8" s="13" t="n">
        <x:v>35</x:v>
      </x:c>
      <x:c r="I8" s="13" t="n">
        <x:v>57</x:v>
      </x:c>
      <x:c r="J8" s="14" t="n">
        <x:v>49</x:v>
      </x:c>
    </x:row>
    <x:row r="9">
      <x:c r="D9" s="15" t="str">
        <x:v>cost uplift%</x:v>
      </x:c>
      <x:c r="E9" s="16" t="n">
        <x:v>0</x:v>
      </x:c>
      <x:c r="F9" s="16" t="n">
        <x:v>5.8</x:v>
      </x:c>
      <x:c r="G9" s="16" t="n">
        <x:v>3.7</x:v>
      </x:c>
      <x:c r="H9" s="16" t="n">
        <x:v>7.3</x:v>
      </x:c>
      <x:c r="I9" s="16" t="n">
        <x:v>11.8</x:v>
      </x:c>
      <x:c r="J9" s="17" t="n">
        <x:v>10.2</x:v>
      </x:c>
    </x:row>
    <x:row r="10">
      <x:c r="D10" s="15" t="str">
        <x:v>sale rate%</x:v>
      </x:c>
      <x:c r="E10" s="16" t="n">
        <x:v>67.6</x:v>
      </x:c>
      <x:c r="F10" s="16" t="n">
        <x:v>71.2</x:v>
      </x:c>
      <x:c r="G10" s="16" t="n">
        <x:v>70.7</x:v>
      </x:c>
      <x:c r="H10" s="16" t="n">
        <x:v>77.2</x:v>
      </x:c>
      <x:c r="I10" s="16" t="n">
        <x:v>82.9</x:v>
      </x:c>
      <x:c r="J10" s="17" t="n">
        <x:v>77.8</x:v>
      </x:c>
    </x:row>
    <x:row r="11">
      <x:c r="D11" s="18" t="str">
        <x:v>remark</x:v>
      </x:c>
      <x:c r="E11" s="19" t="str">
        <x:v>base</x:v>
      </x:c>
      <x:c r="F11" s="19" t="str">
        <x:v>RUM</x:v>
      </x:c>
      <x:c r="G11" s="19" t="str">
        <x:v>coat</x:v>
      </x:c>
      <x:c r="H11" s="19" t="str">
        <x:v>photo↑</x:v>
      </x:c>
      <x:c r="I11" s="19" t="str">
        <x:v>best?</x:v>
      </x:c>
      <x:c r="J11" s="20" t="str">
        <x:v>gift</x:v>
      </x:c>
    </x:row>
  </x:sheetData>
  <x:mergeCells>
    <x:mergeCell ref="D3:N4"/>
  </x:mergeCells>
  <x:pageMargins left="0.7" right="0.7" top="0.75" bottom="0.75" header="0.3" footer="0.3"/>
  <x:drawing xmlns:r="http://schemas.openxmlformats.org/officeDocument/2006/relationships" r:id="Rae0ce34b3d6343e1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3">
      <x:c r="C3" s="359" t="str">
        <x:v>초코 참고 / photo &amp; material memo</x:v>
      </x:c>
      <x:c r="D3" s="360"/>
      <x:c r="E3" s="360"/>
      <x:c r="F3" s="360"/>
      <x:c r="G3" s="360"/>
      <x:c r="H3" s="360"/>
      <x:c r="I3" s="360"/>
      <x:c r="J3" s="360"/>
      <x:c r="K3" s="360"/>
      <x:c r="L3" s="361"/>
    </x:row>
    <x:row r="4">
      <x:c r="C4" s="362"/>
      <x:c r="D4" s="363"/>
      <x:c r="E4" s="363"/>
      <x:c r="F4" s="363"/>
      <x:c r="G4" s="363"/>
      <x:c r="H4" s="363"/>
      <x:c r="I4" s="363"/>
      <x:c r="J4" s="363"/>
      <x:c r="K4" s="363"/>
      <x:c r="L4" s="364"/>
    </x:row>
    <x:row r="16">
      <x:c r="C16" s="12" t="str">
        <x:v>메모</x:v>
      </x:c>
      <x:c r="D16" s="13" t="str">
        <x:v>내용</x:v>
      </x:c>
      <x:c r="E16" s="13" t="str"/>
      <x:c r="F16" s="13" t="str"/>
      <x:c r="G16" s="13" t="str"/>
      <x:c r="H16" s="14" t="str"/>
    </x:row>
    <x:row r="17">
      <x:c r="C17" s="15" t="str">
        <x:v>1</x:v>
      </x:c>
      <x:c r="D17" s="16" t="str">
        <x:v>색이 실제보다 밝게 찍힘</x:v>
      </x:c>
      <x:c r="E17" s="16" t="str"/>
      <x:c r="F17" s="16" t="str"/>
      <x:c r="G17" s="16" t="str"/>
      <x:c r="H17" s="17" t="str"/>
    </x:row>
    <x:row r="18">
      <x:c r="C18" s="15" t="str">
        <x:v>2</x:v>
      </x:c>
      <x:c r="D18" s="16" t="str">
        <x:v>토핑 사진은 다른 batch</x:v>
      </x:c>
      <x:c r="E18" s="16" t="str"/>
      <x:c r="F18" s="16" t="str"/>
      <x:c r="G18" s="16" t="str"/>
      <x:c r="H18" s="17" t="str"/>
    </x:row>
    <x:row r="19">
      <x:c r="C19" s="15" t="str">
        <x:v>3</x:v>
      </x:c>
      <x:c r="D19" s="16" t="str">
        <x:v>원료 package 단위 kg/봉 혼용</x:v>
      </x:c>
      <x:c r="E19" s="16" t="str"/>
      <x:c r="F19" s="16" t="str"/>
      <x:c r="G19" s="16" t="str"/>
      <x:c r="H19" s="17" t="str"/>
    </x:row>
    <x:row r="20">
      <x:c r="C20" s="15" t="str">
        <x:v>4</x:v>
      </x:c>
      <x:c r="D20" s="16" t="str">
        <x:v>source?</x:v>
      </x:c>
      <x:c r="E20" s="16" t="str">
        <x:v>직접촬영 예정</x:v>
      </x:c>
      <x:c r="F20" s="16" t="str"/>
      <x:c r="G20" s="16" t="str"/>
      <x:c r="H20" s="17" t="str"/>
    </x:row>
    <x:row r="21">
      <x:c r="C21" s="18" t="str">
        <x:v>5</x:v>
      </x:c>
      <x:c r="D21" s="19" t="str">
        <x:v>delete later?</x:v>
      </x:c>
      <x:c r="E21" s="19" t="str">
        <x:v>NO</x:v>
      </x:c>
      <x:c r="F21" s="19" t="str"/>
      <x:c r="G21" s="19" t="str"/>
      <x:c r="H21" s="20" t="str"/>
    </x:row>
  </x:sheetData>
  <x:mergeCells>
    <x:mergeCell ref="C3:L4"/>
  </x:mergeCells>
  <x:pageMargins left="0.7" right="0.7" top="0.75" bottom="0.75" header="0.3" footer="0.3"/>
  <x:drawing xmlns:r="http://schemas.openxmlformats.org/officeDocument/2006/relationships" r:id="R61f5fe2366574a74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3">
      <x:c r="B3" s="406" t="str">
        <x:v>작업/메모</x:v>
      </x:c>
      <x:c r="C3" s="407" t="str">
        <x:v>초코</x:v>
      </x:c>
      <x:c r="D3" s="407" t="str"/>
      <x:c r="E3" s="407" t="str"/>
      <x:c r="F3" s="407" t="str"/>
      <x:c r="G3" s="407" t="str"/>
      <x:c r="H3" s="408" t="str"/>
    </x:row>
    <x:row r="4">
      <x:c r="B4" s="15" t="str">
        <x:v>TODO</x:v>
      </x:c>
      <x:c r="C4" s="16" t="str">
        <x:v>probe 위치 재확인</x:v>
      </x:c>
      <x:c r="D4" s="16" t="str">
        <x:v>priority</x:v>
      </x:c>
      <x:c r="E4" s="16" t="str">
        <x:v>HIGH</x:v>
      </x:c>
      <x:c r="F4" s="16" t="str"/>
      <x:c r="G4" s="16" t="str"/>
      <x:c r="H4" s="17" t="str"/>
    </x:row>
    <x:row r="5">
      <x:c r="B5" s="15" t="str">
        <x:v>NOTE</x:v>
      </x:c>
      <x:c r="C5" s="16" t="str">
        <x:v>일부 sheet 명 바꾸지 말 것</x:v>
      </x:c>
      <x:c r="D5" s="16" t="str"/>
      <x:c r="E5" s="16" t="str"/>
      <x:c r="F5" s="16" t="str"/>
      <x:c r="G5" s="16" t="str"/>
      <x:c r="H5" s="17" t="str"/>
    </x:row>
    <x:row r="6">
      <x:c r="B6" s="15" t="str">
        <x:v>temp gap</x:v>
      </x:c>
      <x:c r="C6" s="16" t="str">
        <x:v>실험 없는 온도 존재</x:v>
      </x:c>
      <x:c r="D6" s="16" t="str">
        <x:v>reason</x:v>
      </x:c>
      <x:c r="E6" s="16" t="str">
        <x:v>시간부족</x:v>
      </x:c>
      <x:c r="F6" s="16" t="str"/>
      <x:c r="G6" s="16" t="str"/>
      <x:c r="H6" s="17" t="str"/>
    </x:row>
    <x:row r="7">
      <x:c r="B7" s="15" t="str">
        <x:v>data</x:v>
      </x:c>
      <x:c r="C7" s="16" t="str">
        <x:v>사진/수기/수식 혼합</x:v>
      </x:c>
      <x:c r="D7" s="16" t="str"/>
      <x:c r="E7" s="16" t="str"/>
      <x:c r="F7" s="16" t="str"/>
      <x:c r="G7" s="16" t="str"/>
      <x:c r="H7" s="17" t="str"/>
    </x:row>
    <x:row r="8">
      <x:c r="B8" s="15" t="str">
        <x:v>owner</x:v>
      </x:c>
      <x:c r="C8" s="16" t="str">
        <x:v>미상</x:v>
      </x:c>
      <x:c r="D8" s="16" t="str">
        <x:v>date</x:v>
      </x:c>
      <x:c r="E8" s="16" t="str">
        <x:v>2026-09</x:v>
      </x:c>
      <x:c r="F8" s="16" t="str"/>
      <x:c r="G8" s="16" t="str"/>
      <x:c r="H8" s="17" t="str"/>
    </x:row>
    <x:row r="9">
      <x:c r="B9" s="15" t="str">
        <x:v>!!!</x:v>
      </x:c>
      <x:c r="C9" s="16" t="str">
        <x:v>색상 자체가 정보임</x:v>
      </x:c>
      <x:c r="D9" s="16" t="str"/>
      <x:c r="E9" s="16" t="str"/>
      <x:c r="F9" s="16" t="str"/>
      <x:c r="G9" s="16" t="str"/>
      <x:c r="H9" s="17" t="str"/>
    </x:row>
    <x:row r="10">
      <x:c r="B10" s="18" t="str">
        <x:v>old</x:v>
      </x:c>
      <x:c r="C10" s="19" t="str">
        <x:v>지우지 말 것</x:v>
      </x:c>
      <x:c r="D10" s="19" t="str"/>
      <x:c r="E10" s="19" t="str"/>
      <x:c r="F10" s="19" t="str"/>
      <x:c r="G10" s="19" t="str"/>
      <x:c r="H10" s="20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3">
      <x:c r="D3" s="413" t="str">
        <x:v>초코 포장지 후보 / package concept notes</x:v>
      </x:c>
      <x:c r="E3" s="413"/>
      <x:c r="F3" s="413"/>
      <x:c r="G3" s="413"/>
      <x:c r="H3" s="413"/>
      <x:c r="I3" s="413"/>
      <x:c r="J3" s="413"/>
      <x:c r="K3" s="413"/>
      <x:c r="L3" s="413"/>
      <x:c r="M3" s="413"/>
      <x:c r="N3" s="413"/>
      <x:c r="O3" s="413"/>
      <x:c r="P3" s="413"/>
      <x:c r="Q3" s="413"/>
    </x:row>
    <x:row r="4">
      <x:c r="D4" s="413"/>
      <x:c r="E4" s="413"/>
      <x:c r="F4" s="413"/>
      <x:c r="G4" s="413"/>
      <x:c r="H4" s="413"/>
      <x:c r="I4" s="413"/>
      <x:c r="J4" s="413"/>
      <x:c r="K4" s="413"/>
      <x:c r="L4" s="413"/>
      <x:c r="M4" s="413"/>
      <x:c r="N4" s="413"/>
      <x:c r="O4" s="413"/>
      <x:c r="P4" s="413"/>
      <x:c r="Q4" s="413"/>
    </x:row>
    <x:row r="5"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</x:row>
    <x:row r="6">
      <x:c r="D6" s="418" t="str">
        <x:v>디자인 후보</x:v>
      </x:c>
      <x:c r="E6" s="418"/>
      <x:c r="F6" s="418"/>
      <x:c r="G6" s="418"/>
      <x:c r="H6" s="418"/>
      <x:c r="I6" s="33"/>
      <x:c r="J6" s="33"/>
      <x:c r="K6" s="33"/>
      <x:c r="L6" s="33"/>
      <x:c r="M6" s="33"/>
      <x:c r="N6" s="33"/>
      <x:c r="O6" s="33"/>
      <x:c r="P6" s="33"/>
      <x:c r="Q6" s="33"/>
    </x:row>
    <x:row r="7">
      <x:c r="D7" s="430" t="str">
        <x:v>후보</x:v>
      </x:c>
      <x:c r="E7" s="431" t="str">
        <x:v>캐릭터</x:v>
      </x:c>
      <x:c r="F7" s="431" t="str">
        <x:v>첫인상</x:v>
      </x:c>
      <x:c r="G7" s="431" t="str">
        <x:v>인쇄</x:v>
      </x:c>
      <x:c r="H7" s="432" t="str">
        <x:v>메모</x:v>
      </x:c>
      <x:c r="I7" s="33"/>
      <x:c r="J7" s="33"/>
      <x:c r="K7" s="33"/>
      <x:c r="L7" s="33"/>
      <x:c r="M7" s="33"/>
      <x:c r="N7" s="33"/>
      <x:c r="O7" s="33"/>
      <x:c r="P7" s="33"/>
      <x:c r="Q7" s="33"/>
    </x:row>
    <x:row r="8">
      <x:c r="D8" s="29" t="str">
        <x:v>A</x:v>
      </x:c>
      <x:c r="E8" s="30" t="str">
        <x:v>부엉이 A</x:v>
      </x:c>
      <x:c r="F8" s="435" t="str">
        <x:v>귀여움 / 눈에 띔</x:v>
      </x:c>
      <x:c r="G8" s="30" t="str">
        <x:v>CMYK test 필요</x:v>
      </x:c>
      <x:c r="H8" s="31" t="str">
        <x:v>전면 크게?</x:v>
      </x:c>
      <x:c r="I8" s="33"/>
      <x:c r="J8" s="33"/>
      <x:c r="K8" s="33"/>
      <x:c r="L8" s="33"/>
      <x:c r="M8" s="33"/>
      <x:c r="N8" s="33"/>
      <x:c r="O8" s="33"/>
      <x:c r="P8" s="33"/>
      <x:c r="Q8" s="33"/>
    </x:row>
    <x:row r="9">
      <x:c r="D9" s="32" t="str">
        <x:v>B</x:v>
      </x:c>
      <x:c r="E9" s="434" t="str">
        <x:v>부엉이 B</x:v>
      </x:c>
      <x:c r="F9" s="436" t="str">
        <x:v>조금 더 차분</x:v>
      </x:c>
      <x:c r="G9" s="434" t="str">
        <x:v>선 얇음 주의</x:v>
      </x:c>
      <x:c r="H9" s="34" t="str">
        <x:v>스티커용 가능</x:v>
      </x:c>
      <x:c r="I9" s="33"/>
      <x:c r="J9" s="33"/>
      <x:c r="K9" s="33"/>
      <x:c r="L9" s="33"/>
      <x:c r="M9" s="33"/>
      <x:c r="N9" s="33"/>
      <x:c r="O9" s="33"/>
      <x:c r="P9" s="33"/>
      <x:c r="Q9" s="33"/>
    </x:row>
    <x:row r="10">
      <x:c r="D10" s="32" t="str">
        <x:v>C</x:v>
      </x:c>
      <x:c r="E10" s="434" t="str">
        <x:v>고양이 대안</x:v>
      </x:c>
      <x:c r="F10" s="436" t="str">
        <x:v>브랜드화 가능</x:v>
      </x:c>
      <x:c r="G10" s="434" t="str">
        <x:v>갈색지 확인</x:v>
      </x:c>
      <x:c r="H10" s="34" t="str">
        <x:v>시안 보류</x:v>
      </x:c>
      <x:c r="I10" s="33"/>
      <x:c r="J10" s="33"/>
      <x:c r="K10" s="33"/>
      <x:c r="L10" s="33"/>
      <x:c r="M10" s="33"/>
      <x:c r="N10" s="33"/>
      <x:c r="O10" s="33"/>
      <x:c r="P10" s="33"/>
      <x:c r="Q10" s="33"/>
    </x:row>
    <x:row r="11">
      <x:c r="D11" s="35" t="str">
        <x:v>결론</x:v>
      </x:c>
      <x:c r="E11" s="36" t="str">
        <x:v>미정</x:v>
      </x:c>
      <x:c r="F11" s="36" t="str">
        <x:v>샘플 뽑아보고</x:v>
      </x:c>
      <x:c r="G11" s="36" t="str">
        <x:v>재검토</x:v>
      </x:c>
      <x:c r="H11" s="37" t="str">
        <x:v>★ 너무 유아틱한가?</x:v>
      </x:c>
      <x:c r="I11" s="33"/>
      <x:c r="J11" s="33"/>
      <x:c r="K11" s="33"/>
      <x:c r="L11" s="33"/>
      <x:c r="M11" s="33"/>
      <x:c r="N11" s="33"/>
      <x:c r="O11" s="33"/>
      <x:c r="P11" s="33"/>
      <x:c r="Q11" s="33"/>
    </x:row>
    <x:row r="12"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</x:row>
    <x:row r="13"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</x:row>
    <x:row r="14">
      <x:c r="D14" s="418" t="str">
        <x:v>포장재/사이즈 대충 기록</x:v>
      </x:c>
      <x:c r="E14" s="418"/>
      <x:c r="F14" s="418"/>
      <x:c r="G14" s="418"/>
      <x:c r="H14" s="418"/>
      <x:c r="I14" s="33"/>
      <x:c r="J14" s="33"/>
      <x:c r="K14" s="33"/>
      <x:c r="L14" s="33"/>
      <x:c r="M14" s="33"/>
      <x:c r="N14" s="33"/>
      <x:c r="O14" s="33"/>
      <x:c r="P14" s="33"/>
      <x:c r="Q14" s="33"/>
    </x:row>
    <x:row r="15">
      <x:c r="D15" s="448" t="str">
        <x:v>항목</x:v>
      </x:c>
      <x:c r="E15" s="449" t="str">
        <x:v>값</x:v>
      </x:c>
      <x:c r="F15" s="449" t="str">
        <x:v>unit</x:v>
      </x:c>
      <x:c r="G15" s="449" t="str">
        <x:v>선택?</x:v>
      </x:c>
      <x:c r="H15" s="450" t="str">
        <x:v>메모</x:v>
      </x:c>
      <x:c r="I15" s="33"/>
      <x:c r="J15" s="33"/>
      <x:c r="K15" s="33"/>
      <x:c r="L15" s="33"/>
      <x:c r="M15" s="33"/>
      <x:c r="N15" s="33"/>
      <x:c r="O15" s="33"/>
      <x:c r="P15" s="33"/>
      <x:c r="Q15" s="33"/>
    </x:row>
    <x:row r="16">
      <x:c r="D16" s="29" t="str">
        <x:v>봉투 폭</x:v>
      </x:c>
      <x:c r="E16" s="30" t="n">
        <x:v>92</x:v>
      </x:c>
      <x:c r="F16" s="30" t="str">
        <x:v>mm</x:v>
      </x:c>
      <x:c r="G16" s="30" t="str">
        <x:v>Y</x:v>
      </x:c>
      <x:c r="H16" s="31" t="str">
        <x:v>12개입 아님, 낱개</x:v>
      </x:c>
      <x:c r="I16" s="33"/>
      <x:c r="J16" s="33"/>
      <x:c r="K16" s="33"/>
      <x:c r="L16" s="33"/>
      <x:c r="M16" s="33"/>
      <x:c r="N16" s="33"/>
      <x:c r="O16" s="33"/>
      <x:c r="P16" s="33"/>
      <x:c r="Q16" s="33"/>
    </x:row>
    <x:row r="17">
      <x:c r="D17" s="32" t="str">
        <x:v>봉투 높이</x:v>
      </x:c>
      <x:c r="E17" s="434" t="n">
        <x:v>118</x:v>
      </x:c>
      <x:c r="F17" s="434" t="str">
        <x:v>mm</x:v>
      </x:c>
      <x:c r="G17" s="434" t="str">
        <x:v>Y</x:v>
      </x:c>
      <x:c r="H17" s="34" t="str">
        <x:v>+접착부</x:v>
      </x:c>
      <x:c r="I17" s="33"/>
      <x:c r="J17" s="33"/>
      <x:c r="K17" s="33"/>
      <x:c r="L17" s="33"/>
      <x:c r="M17" s="33"/>
      <x:c r="N17" s="33"/>
      <x:c r="O17" s="33"/>
      <x:c r="P17" s="33"/>
      <x:c r="Q17" s="33"/>
    </x:row>
    <x:row r="18">
      <x:c r="D18" s="32" t="str">
        <x:v>필름</x:v>
      </x:c>
      <x:c r="E18" s="434" t="str">
        <x:v>OPP+CPP</x:v>
      </x:c>
      <x:c r="F18" s="434" t="str"/>
      <x:c r="G18" s="434" t="str">
        <x:v>?</x:v>
      </x:c>
      <x:c r="H18" s="34" t="str">
        <x:v>무광도 후보</x:v>
      </x:c>
      <x:c r="I18" s="33"/>
      <x:c r="J18" s="33"/>
      <x:c r="K18" s="33"/>
      <x:c r="L18" s="33"/>
      <x:c r="M18" s="33"/>
      <x:c r="N18" s="33"/>
      <x:c r="O18" s="33"/>
      <x:c r="P18" s="33"/>
      <x:c r="Q18" s="33"/>
    </x:row>
    <x:row r="19">
      <x:c r="D19" s="32" t="str">
        <x:v>스티커</x:v>
      </x:c>
      <x:c r="E19" s="434" t="n">
        <x:v>45</x:v>
      </x:c>
      <x:c r="F19" s="434" t="str">
        <x:v>mm</x:v>
      </x:c>
      <x:c r="G19" s="434" t="str">
        <x:v>Y</x:v>
      </x:c>
      <x:c r="H19" s="34" t="str">
        <x:v>원형/사각 비교</x:v>
      </x:c>
      <x:c r="I19" s="33"/>
      <x:c r="J19" s="33"/>
      <x:c r="K19" s="33"/>
      <x:c r="L19" s="33"/>
      <x:c r="M19" s="33"/>
      <x:c r="N19" s="33"/>
      <x:c r="O19" s="33"/>
      <x:c r="P19" s="33"/>
      <x:c r="Q19" s="33"/>
    </x:row>
    <x:row r="20">
      <x:c r="D20" s="35" t="str">
        <x:v>인쇄도수</x:v>
      </x:c>
      <x:c r="E20" s="36" t="str">
        <x:v>4C</x:v>
      </x:c>
      <x:c r="F20" s="36" t="str">
        <x:v>color</x:v>
      </x:c>
      <x:c r="G20" s="36" t="str">
        <x:v>?</x:v>
      </x:c>
      <x:c r="H20" s="37" t="str">
        <x:v>단색 버전도 봄</x:v>
      </x:c>
      <x:c r="I20" s="33"/>
      <x:c r="J20" s="33"/>
      <x:c r="K20" s="33"/>
      <x:c r="L20" s="33"/>
      <x:c r="M20" s="33"/>
      <x:c r="N20" s="33"/>
      <x:c r="O20" s="33"/>
      <x:c r="P20" s="33"/>
      <x:c r="Q20" s="33"/>
    </x:row>
    <x:row r="21"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</x:row>
    <x:row r="22"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</x:row>
    <x:row r="23">
      <x:c r="D23" s="462" t="str">
        <x:v>메모
• 포장지 때문에 넣어둔 시트라 실험 데이터랑 직접 관계 없음
• 오리/고양이/부엉이 중 뭘 쓸지는 아직 미정
• 실제 납품용 로고는 별도
• '귀여운 쪽'과 '고급스러운 쪽' 두 방향 비교
• 색상 셀은 사람 눈으로 보기 위한 표시일 뿐</x:v>
      </x:c>
      <x:c r="E23" s="463"/>
      <x:c r="F23" s="463"/>
      <x:c r="G23" s="463"/>
      <x:c r="H23" s="464"/>
      <x:c r="I23" s="33"/>
      <x:c r="J23" s="33"/>
      <x:c r="K23" s="33"/>
      <x:c r="L23" s="33"/>
      <x:c r="M23" s="33"/>
      <x:c r="N23" s="33"/>
      <x:c r="O23" s="33"/>
      <x:c r="P23" s="33"/>
      <x:c r="Q23" s="33"/>
    </x:row>
    <x:row r="24">
      <x:c r="D24" s="465"/>
      <x:c r="E24" s="466"/>
      <x:c r="F24" s="466"/>
      <x:c r="G24" s="466"/>
      <x:c r="H24" s="467"/>
      <x:c r="I24" s="33"/>
      <x:c r="J24" s="33"/>
      <x:c r="K24" s="33"/>
      <x:c r="L24" s="33"/>
      <x:c r="M24" s="33"/>
      <x:c r="N24" s="33"/>
      <x:c r="O24" s="33"/>
      <x:c r="P24" s="33"/>
      <x:c r="Q24" s="33"/>
    </x:row>
    <x:row r="25">
      <x:c r="D25" s="465"/>
      <x:c r="E25" s="466"/>
      <x:c r="F25" s="466"/>
      <x:c r="G25" s="466"/>
      <x:c r="H25" s="467"/>
      <x:c r="I25" s="33"/>
      <x:c r="J25" s="33"/>
      <x:c r="K25" s="33"/>
      <x:c r="L25" s="33"/>
      <x:c r="M25" s="33"/>
      <x:c r="N25" s="33"/>
      <x:c r="O25" s="33"/>
      <x:c r="P25" s="33"/>
      <x:c r="Q25" s="33"/>
    </x:row>
    <x:row r="26">
      <x:c r="D26" s="465"/>
      <x:c r="E26" s="466"/>
      <x:c r="F26" s="466"/>
      <x:c r="G26" s="466"/>
      <x:c r="H26" s="467"/>
      <x:c r="I26" s="33"/>
      <x:c r="J26" s="33"/>
      <x:c r="K26" s="33"/>
      <x:c r="L26" s="33"/>
      <x:c r="M26" s="33"/>
      <x:c r="N26" s="33"/>
      <x:c r="O26" s="33"/>
      <x:c r="P26" s="33"/>
      <x:c r="Q26" s="33"/>
    </x:row>
    <x:row r="27">
      <x:c r="D27" s="465"/>
      <x:c r="E27" s="466"/>
      <x:c r="F27" s="466"/>
      <x:c r="G27" s="466"/>
      <x:c r="H27" s="467"/>
      <x:c r="I27" s="33"/>
      <x:c r="J27" s="33"/>
      <x:c r="K27" s="33"/>
      <x:c r="L27" s="33"/>
      <x:c r="M27" s="33"/>
      <x:c r="N27" s="33"/>
      <x:c r="O27" s="33"/>
      <x:c r="P27" s="33"/>
      <x:c r="Q27" s="33"/>
    </x:row>
    <x:row r="28">
      <x:c r="D28" s="468"/>
      <x:c r="E28" s="469"/>
      <x:c r="F28" s="469"/>
      <x:c r="G28" s="469"/>
      <x:c r="H28" s="470"/>
      <x:c r="I28" s="33"/>
      <x:c r="J28" s="33"/>
      <x:c r="K28" s="33"/>
      <x:c r="L28" s="33"/>
      <x:c r="M28" s="33"/>
      <x:c r="N28" s="33"/>
      <x:c r="O28" s="33"/>
      <x:c r="P28" s="33"/>
      <x:c r="Q28" s="33"/>
    </x:row>
    <x:row r="29"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</x:row>
    <x:row r="30"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</x:row>
    <x:row r="31">
      <x:c r="D31" s="33"/>
      <x:c r="E31" s="33"/>
      <x:c r="F31" s="33"/>
      <x:c r="G31" s="33"/>
      <x:c r="H31" s="33"/>
      <x:c r="I31" s="33"/>
      <x:c r="J31" s="486" t="str">
        <x:v>CHECK</x:v>
      </x:c>
      <x:c r="K31" s="487" t="str">
        <x:v>A</x:v>
      </x:c>
      <x:c r="L31" s="487" t="str">
        <x:v>B</x:v>
      </x:c>
      <x:c r="M31" s="487" t="str">
        <x:v>C</x:v>
      </x:c>
      <x:c r="N31" s="488" t="str">
        <x:v>note</x:v>
      </x:c>
      <x:c r="O31" s="33"/>
      <x:c r="P31" s="33"/>
      <x:c r="Q31" s="33"/>
    </x:row>
    <x:row r="32">
      <x:c r="D32" s="33"/>
      <x:c r="E32" s="33"/>
      <x:c r="F32" s="33"/>
      <x:c r="G32" s="33"/>
      <x:c r="H32" s="33"/>
      <x:c r="I32" s="33"/>
      <x:c r="J32" s="32" t="str">
        <x:v>매대가시성</x:v>
      </x:c>
      <x:c r="K32" s="434" t="str">
        <x:v>○</x:v>
      </x:c>
      <x:c r="L32" s="434" t="str">
        <x:v>△</x:v>
      </x:c>
      <x:c r="M32" s="434" t="str">
        <x:v>○</x:v>
      </x:c>
      <x:c r="N32" s="34" t="str"/>
      <x:c r="O32" s="33"/>
      <x:c r="P32" s="33"/>
      <x:c r="Q32" s="33"/>
    </x:row>
    <x:row r="33">
      <x:c r="D33" s="33"/>
      <x:c r="E33" s="33"/>
      <x:c r="F33" s="33"/>
      <x:c r="G33" s="33"/>
      <x:c r="H33" s="33"/>
      <x:c r="I33" s="33"/>
      <x:c r="J33" s="32" t="str">
        <x:v>브랜드기억</x:v>
      </x:c>
      <x:c r="K33" s="434" t="str">
        <x:v>○</x:v>
      </x:c>
      <x:c r="L33" s="434" t="str">
        <x:v>○</x:v>
      </x:c>
      <x:c r="M33" s="434" t="str">
        <x:v>◎</x:v>
      </x:c>
      <x:c r="N33" s="34" t="str"/>
      <x:c r="O33" s="33"/>
      <x:c r="P33" s="33"/>
      <x:c r="Q33" s="33"/>
    </x:row>
    <x:row r="34">
      <x:c r="D34" s="33"/>
      <x:c r="E34" s="33"/>
      <x:c r="F34" s="33"/>
      <x:c r="G34" s="33"/>
      <x:c r="H34" s="33"/>
      <x:c r="I34" s="33"/>
      <x:c r="J34" s="32" t="str">
        <x:v>원가</x:v>
      </x:c>
      <x:c r="K34" s="434" t="str">
        <x:v>◎</x:v>
      </x:c>
      <x:c r="L34" s="434" t="str">
        <x:v>○</x:v>
      </x:c>
      <x:c r="M34" s="434" t="str">
        <x:v>△</x:v>
      </x:c>
      <x:c r="N34" s="34" t="str">
        <x:v>인쇄도수</x:v>
      </x:c>
      <x:c r="O34" s="33"/>
      <x:c r="P34" s="33"/>
      <x:c r="Q34" s="33"/>
    </x:row>
    <x:row r="35">
      <x:c r="D35" s="33"/>
      <x:c r="E35" s="33"/>
      <x:c r="F35" s="33"/>
      <x:c r="G35" s="33"/>
      <x:c r="H35" s="33"/>
      <x:c r="I35" s="33"/>
      <x:c r="J35" s="35" t="str">
        <x:v>최종</x:v>
      </x:c>
      <x:c r="K35" s="36" t="str">
        <x:v>?</x:v>
      </x:c>
      <x:c r="L35" s="36" t="str">
        <x:v>?</x:v>
      </x:c>
      <x:c r="M35" s="36" t="str">
        <x:v>?</x:v>
      </x:c>
      <x:c r="N35" s="37" t="str">
        <x:v>회의필요</x:v>
      </x:c>
      <x:c r="O35" s="33"/>
      <x:c r="P35" s="33"/>
      <x:c r="Q35" s="33"/>
    </x:row>
  </x:sheetData>
  <x:mergeCells>
    <x:mergeCell ref="D3:Q4"/>
    <x:mergeCell ref="D6:H6"/>
    <x:mergeCell ref="D14:H14"/>
    <x:mergeCell ref="D23:H28"/>
  </x:mergeCells>
  <x:pageMargins left="0.7" right="0.7" top="0.75" bottom="0.75" header="0.3" footer="0.3"/>
  <x:drawing xmlns:r="http://schemas.openxmlformats.org/officeDocument/2006/relationships" r:id="Rff6189a93b54464f"/>
</x:worksheet>
</file>

<file path=xl/worksheets/sheet11.xml><?xml version="1.0" encoding="utf-8"?>
<x:worksheet xmlns:x="http://schemas.openxmlformats.org/spreadsheetml/2006/main">
  <x:sheetFormatPr defaultRowHeight="15"/>
  <x:cols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3">
      <x:c r="B3" s="501" t="str">
        <x:v>구분</x:v>
      </x:c>
      <x:c r="C3" s="502" t="str">
        <x:v>내용</x:v>
      </x:c>
      <x:c r="D3" s="502" t="str">
        <x:v>날짜</x:v>
      </x:c>
      <x:c r="E3" s="502" t="str">
        <x:v>누가</x:v>
      </x:c>
      <x:c r="F3" s="503" t="str">
        <x:v>비고</x:v>
      </x:c>
    </x:row>
    <x:row r="4">
      <x:c r="B4" s="15" t="str">
        <x:v>포장</x:v>
      </x:c>
      <x:c r="C4" s="433" t="str">
        <x:v>샘플 인쇄 3종</x:v>
      </x:c>
      <x:c r="D4" s="433" t="str">
        <x:v>2026-09-18</x:v>
      </x:c>
      <x:c r="E4" s="433" t="str">
        <x:v>박</x:v>
      </x:c>
      <x:c r="F4" s="17" t="str"/>
    </x:row>
    <x:row r="5">
      <x:c r="B5" s="15" t="str">
        <x:v>사진</x:v>
      </x:c>
      <x:c r="C5" s="433" t="str">
        <x:v>SNS 촬영 필요</x:v>
      </x:c>
      <x:c r="D5" s="433" t="str"/>
      <x:c r="E5" s="433" t="str"/>
      <x:c r="F5" s="17" t="str"/>
    </x:row>
    <x:row r="6">
      <x:c r="B6" s="15" t="str">
        <x:v>보류</x:v>
      </x:c>
      <x:c r="C6" s="433" t="str">
        <x:v>라벨 문구 확정 안 됨</x:v>
      </x:c>
      <x:c r="D6" s="433" t="str"/>
      <x:c r="E6" s="433" t="str"/>
      <x:c r="F6" s="17" t="str"/>
    </x:row>
    <x:row r="7">
      <x:c r="B7" s="15" t="str">
        <x:v>재고</x:v>
      </x:c>
      <x:c r="C7" s="433" t="str">
        <x:v>투명봉투 남음</x:v>
      </x:c>
      <x:c r="D7" s="433" t="str">
        <x:v>약 240장</x:v>
      </x:c>
      <x:c r="E7" s="433" t="str"/>
      <x:c r="F7" s="17" t="str"/>
    </x:row>
    <x:row r="8">
      <x:c r="B8" s="18" t="str">
        <x:v>TODO</x:v>
      </x:c>
      <x:c r="C8" s="19" t="str">
        <x:v>단가 다시 확인</x:v>
      </x:c>
      <x:c r="D8" s="19" t="str"/>
      <x:c r="E8" s="19" t="str"/>
      <x:c r="F8" s="20" t="str"/>
    </x:row>
  </x:sheetData>
  <x:pageMargins left="0.7" right="0.7" top="0.75" bottom="0.75" header="0.3" footer="0.3"/>
</x:worksheet>
</file>