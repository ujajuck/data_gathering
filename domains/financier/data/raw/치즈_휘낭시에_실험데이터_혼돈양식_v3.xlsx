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drawings/charts/chart2.xml" ContentType="application/vnd.openxmlformats-officedocument.drawingml.char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7.xml" ContentType="application/vnd.openxmlformats-officedocument.drawing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085579718d4c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본" sheetId="1" r:id="R00186d3277ca45d1"/>
    <x:sheet xmlns:r="http://schemas.openxmlformats.org/officeDocument/2006/relationships" name="원재료가격" sheetId="2" r:id="R71d84b387ac04f85"/>
    <x:sheet xmlns:r="http://schemas.openxmlformats.org/officeDocument/2006/relationships" name="Oven180" sheetId="3" r:id="R9f72b5687fbe4e70"/>
    <x:sheet xmlns:r="http://schemas.openxmlformats.org/officeDocument/2006/relationships" name="190℃_1차" sheetId="4" r:id="Rd1a4378dcbe946c6"/>
    <x:sheet xmlns:r="http://schemas.openxmlformats.org/officeDocument/2006/relationships" name="195℃_2차" sheetId="5" r:id="Ra38f3ed974384041"/>
    <x:sheet xmlns:r="http://schemas.openxmlformats.org/officeDocument/2006/relationships" name="200 final" sheetId="6" r:id="Rd68405b5166f4b20"/>
    <x:sheet xmlns:r="http://schemas.openxmlformats.org/officeDocument/2006/relationships" name="T210" sheetId="7" r:id="R989795ee89d0416f"/>
    <x:sheet xmlns:r="http://schemas.openxmlformats.org/officeDocument/2006/relationships" name="토핑_판매분석" sheetId="8" r:id="R37975d04d7c44e27"/>
    <x:sheet xmlns:r="http://schemas.openxmlformats.org/officeDocument/2006/relationships" name="치즈2차메모" sheetId="9" r:id="R1300a14d815b42f2"/>
    <x:sheet xmlns:r="http://schemas.openxmlformats.org/officeDocument/2006/relationships" name="pkg_고양이시안" sheetId="10" r:id="R413f8b4542544599"/>
    <x:sheet xmlns:r="http://schemas.openxmlformats.org/officeDocument/2006/relationships" name="메모_포장외" sheetId="11" r:id="Rc0ea75b161a648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7"/>
      <x:color rgb="FFFFFFFF"/>
      <x:name val="Carlito"/>
    </x:font>
    <x:font>
      <x:b/>
      <x:sz val="10"/>
      <x:color rgb="FFFFFFFF"/>
      <x:name val="Carlito"/>
    </x:font>
    <x:font>
      <x:i/>
      <x:sz val="11"/>
      <x:color rgb="FF7F6000"/>
      <x:name val="Carlito"/>
    </x:font>
    <x:font>
      <x:b/>
      <x:sz val="15"/>
      <x:color rgb="FFFFFFFF"/>
      <x:name val="Carlito"/>
    </x:font>
    <x:font>
      <x:b/>
      <x:sz val="11"/>
      <x:color rgb="FFC00000"/>
      <x:name val="Carlito"/>
    </x:font>
    <x:font>
      <x:b/>
      <x:sz val="11"/>
      <x:color rgb="FF5B3A1A"/>
      <x:name val="Carlito"/>
    </x:font>
    <x:font>
      <x:b/>
      <x:sz val="11"/>
      <x:color rgb="FFFFFFFF"/>
      <x:name val="Carlito"/>
    </x:font>
    <x:font>
      <x:b/>
      <x:sz val="11"/>
      <x:color rgb="FF274E13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2F5597"/>
      </x:patternFill>
    </x:fill>
    <x:fill>
      <x:patternFill patternType="solid">
        <x:fgColor rgb="FF7030A0"/>
      </x:patternFill>
    </x:fill>
    <x:fill>
      <x:patternFill patternType="solid">
        <x:fgColor rgb="FFFFF2CC"/>
      </x:patternFill>
    </x:fill>
    <x:fill>
      <x:patternFill patternType="solid">
        <x:fgColor rgb="FF806000"/>
      </x:patternFill>
    </x:fill>
    <x:fill>
      <x:patternFill patternType="solid">
        <x:fgColor rgb="FFA0522D"/>
      </x:patternFill>
    </x:fill>
    <x:fill>
      <x:patternFill patternType="solid">
        <x:fgColor rgb="FF9E480E"/>
      </x:patternFill>
    </x:fill>
    <x:fill>
      <x:patternFill patternType="solid">
        <x:fgColor rgb="FFC00000"/>
      </x:patternFill>
    </x:fill>
    <x:fill>
      <x:patternFill patternType="solid">
        <x:fgColor rgb="FF7F7F7F"/>
      </x:patternFill>
    </x:fill>
    <x:fill>
      <x:patternFill patternType="solid">
        <x:fgColor rgb="FF6B4F2A"/>
      </x:patternFill>
    </x:fill>
    <x:fill>
      <x:patternFill patternType="solid">
        <x:fgColor rgb="FFF4E1C1"/>
      </x:patternFill>
    </x:fill>
    <x:fill>
      <x:patternFill patternType="solid">
        <x:fgColor rgb="FFA0522D"/>
      </x:patternFill>
    </x:fill>
    <x:fill>
      <x:patternFill patternType="solid">
        <x:fgColor rgb="FF806000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7F7F7F"/>
      </x:patternFill>
    </x:fill>
  </x:fills>
  <x:borders count="24">
    <x:border/>
    <x:border/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3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8" xfId="0" applyNumberFormat="1" applyFont="1" applyFill="1" applyBorder="1"/>
    <x:xf numFmtId="0" fontId="2" fillId="3" borderId="19" xfId="0" applyNumberFormat="1" applyFont="1" applyFill="1" applyBorder="1"/>
    <x:xf numFmtId="0" fontId="2" fillId="3" borderId="20" xfId="0" applyNumberFormat="1" applyFont="1" applyFill="1" applyBorder="1"/>
    <x:xf numFmtId="0" fontId="2" fillId="3" borderId="18" xfId="0" applyNumberFormat="1" applyFont="1" applyFill="1" applyBorder="1" applyAlignment="1">
      <x:alignment wrapText="1"/>
    </x:xf>
    <x:xf numFmtId="0" fontId="2" fillId="3" borderId="19" xfId="0" applyNumberFormat="1" applyFont="1" applyFill="1" applyBorder="1" applyAlignment="1">
      <x:alignment wrapText="1"/>
    </x:xf>
    <x:xf numFmtId="0" fontId="2" fillId="3" borderId="20" xfId="0" applyNumberFormat="1" applyFont="1" applyFill="1" applyBorder="1" applyAlignment="1">
      <x:alignment wrapText="1"/>
    </x:xf>
    <x:xf numFmtId="0" fontId="2" fillId="3" borderId="18" xfId="0" applyNumberFormat="1" applyFont="1" applyFill="1" applyBorder="1" applyAlignment="1">
      <x:alignment horizontal="center" wrapText="1"/>
    </x:xf>
    <x:xf numFmtId="0" fontId="2" fillId="3" borderId="19" xfId="0" applyNumberFormat="1" applyFont="1" applyFill="1" applyBorder="1" applyAlignment="1">
      <x:alignment horizontal="center" wrapText="1"/>
    </x:xf>
    <x:xf numFmtId="0" fontId="2" fillId="3" borderId="20" xfId="0" applyNumberFormat="1" applyFont="1" applyFill="1" applyBorder="1" applyAlignment="1">
      <x:alignment horizontal="center" wrapText="1"/>
    </x:xf>
    <x:xf numFmtId="0" fontId="2" fillId="3" borderId="18" xfId="0" applyNumberFormat="1" applyFont="1" applyFill="1" applyBorder="1" applyAlignment="1">
      <x:alignment horizontal="center" vertical="center" wrapText="1"/>
    </x:xf>
    <x:xf numFmtId="0" fontId="2" fillId="3" borderId="19" xfId="0" applyNumberFormat="1" applyFont="1" applyFill="1" applyBorder="1" applyAlignment="1">
      <x:alignment horizontal="center" vertical="center" wrapText="1"/>
    </x:xf>
    <x:xf numFmtId="0" fontId="2" fillId="3" borderId="2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21" xfId="0" applyNumberFormat="1" applyFont="1" applyFill="1" applyBorder="1"/>
    <x:xf numFmtId="0" fontId="2" fillId="3" borderId="22" xfId="0" applyNumberFormat="1" applyFont="1" applyFill="1" applyBorder="1"/>
    <x:xf numFmtId="0" fontId="2" fillId="3" borderId="23" xfId="0" applyNumberFormat="1" applyFont="1" applyFill="1" applyBorder="1"/>
    <x:xf numFmtId="0" fontId="2" fillId="3" borderId="21" xfId="0" applyNumberFormat="1" applyFont="1" applyFill="1" applyBorder="1" applyAlignment="1">
      <x:alignment wrapText="1"/>
    </x:xf>
    <x:xf numFmtId="0" fontId="2" fillId="3" borderId="22" xfId="0" applyNumberFormat="1" applyFont="1" applyFill="1" applyBorder="1" applyAlignment="1">
      <x:alignment wrapText="1"/>
    </x:xf>
    <x:xf numFmtId="0" fontId="2" fillId="3" borderId="23" xfId="0" applyNumberFormat="1" applyFont="1" applyFill="1" applyBorder="1" applyAlignment="1">
      <x:alignment wrapText="1"/>
    </x:xf>
    <x:xf numFmtId="0" fontId="2" fillId="3" borderId="21" xfId="0" applyNumberFormat="1" applyFont="1" applyFill="1" applyBorder="1" applyAlignment="1">
      <x:alignment horizontal="center" wrapText="1"/>
    </x:xf>
    <x:xf numFmtId="0" fontId="2" fillId="3" borderId="22" xfId="0" applyNumberFormat="1" applyFont="1" applyFill="1" applyBorder="1" applyAlignment="1">
      <x:alignment horizontal="center" wrapText="1"/>
    </x:xf>
    <x:xf numFmtId="0" fontId="2" fillId="3" borderId="23" xfId="0" applyNumberFormat="1" applyFont="1" applyFill="1" applyBorder="1" applyAlignment="1">
      <x:alignment horizontal="center" wrapText="1"/>
    </x:xf>
    <x:xf numFmtId="0" fontId="2" fillId="3" borderId="21" xfId="0" applyNumberFormat="1" applyFont="1" applyFill="1" applyBorder="1" applyAlignment="1">
      <x:alignment horizontal="center" vertical="center" wrapText="1"/>
    </x:xf>
    <x:xf numFmtId="0" fontId="2" fillId="3" borderId="22" xfId="0" applyNumberFormat="1" applyFont="1" applyFill="1" applyBorder="1" applyAlignment="1">
      <x:alignment horizontal="center" vertical="center" wrapText="1"/>
    </x:xf>
    <x:xf numFmtId="0" fontId="2" fillId="3" borderId="2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12" xfId="0" applyNumberFormat="1" applyFont="1" applyFill="1" applyBorder="1"/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3" fillId="4" borderId="16" xfId="0" applyNumberFormat="1" applyFont="1" applyFill="1" applyBorder="1"/>
    <x:xf numFmtId="0" fontId="3" fillId="4" borderId="17" xfId="0" applyNumberFormat="1" applyFont="1" applyFill="1" applyBorder="1"/>
    <x:xf numFmtId="0" fontId="3" fillId="4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4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3" fillId="4" borderId="16" xfId="0" applyNumberFormat="1" applyFont="1" applyFill="1" applyBorder="1" applyAlignment="1">
      <x:alignment wrapText="1"/>
    </x:xf>
    <x:xf numFmtId="0" fontId="3" fillId="4" borderId="17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18" xfId="0" applyNumberFormat="1" applyFont="1" applyFill="1" applyBorder="1"/>
    <x:xf numFmtId="0" fontId="2" fillId="6" borderId="19" xfId="0" applyNumberFormat="1" applyFont="1" applyFill="1" applyBorder="1"/>
    <x:xf numFmtId="0" fontId="2" fillId="6" borderId="20" xfId="0" applyNumberFormat="1" applyFont="1" applyFill="1" applyBorder="1"/>
    <x:xf numFmtId="0" fontId="2" fillId="6" borderId="18" xfId="0" applyNumberFormat="1" applyFont="1" applyFill="1" applyBorder="1" applyAlignment="1">
      <x:alignment wrapText="1"/>
    </x:xf>
    <x:xf numFmtId="0" fontId="2" fillId="6" borderId="19" xfId="0" applyNumberFormat="1" applyFont="1" applyFill="1" applyBorder="1" applyAlignment="1">
      <x:alignment wrapText="1"/>
    </x:xf>
    <x:xf numFmtId="0" fontId="2" fillId="6" borderId="20" xfId="0" applyNumberFormat="1" applyFont="1" applyFill="1" applyBorder="1" applyAlignment="1">
      <x:alignment wrapText="1"/>
    </x:xf>
    <x:xf numFmtId="0" fontId="2" fillId="6" borderId="18" xfId="0" applyNumberFormat="1" applyFont="1" applyFill="1" applyBorder="1" applyAlignment="1">
      <x:alignment horizontal="center" wrapText="1"/>
    </x:xf>
    <x:xf numFmtId="0" fontId="2" fillId="6" borderId="19" xfId="0" applyNumberFormat="1" applyFont="1" applyFill="1" applyBorder="1" applyAlignment="1">
      <x:alignment horizontal="center" wrapText="1"/>
    </x:xf>
    <x:xf numFmtId="0" fontId="2" fillId="6" borderId="20" xfId="0" applyNumberFormat="1" applyFont="1" applyFill="1" applyBorder="1" applyAlignment="1">
      <x:alignment horizontal="center" wrapText="1"/>
    </x:xf>
    <x:xf numFmtId="0" fontId="2" fillId="6" borderId="18" xfId="0" applyNumberFormat="1" applyFont="1" applyFill="1" applyBorder="1" applyAlignment="1">
      <x:alignment horizontal="center" vertical="center" wrapText="1"/>
    </x:xf>
    <x:xf numFmtId="0" fontId="2" fillId="6" borderId="19" xfId="0" applyNumberFormat="1" applyFont="1" applyFill="1" applyBorder="1" applyAlignment="1">
      <x:alignment horizontal="center" vertical="center" wrapText="1"/>
    </x:xf>
    <x:xf numFmtId="0" fontId="2" fillId="6" borderId="2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21" xfId="0" applyNumberFormat="1" applyFont="1" applyFill="1" applyBorder="1"/>
    <x:xf numFmtId="0" fontId="2" fillId="6" borderId="22" xfId="0" applyNumberFormat="1" applyFont="1" applyFill="1" applyBorder="1"/>
    <x:xf numFmtId="0" fontId="2" fillId="6" borderId="23" xfId="0" applyNumberFormat="1" applyFont="1" applyFill="1" applyBorder="1"/>
    <x:xf numFmtId="0" fontId="2" fillId="6" borderId="21" xfId="0" applyNumberFormat="1" applyFont="1" applyFill="1" applyBorder="1" applyAlignment="1">
      <x:alignment wrapText="1"/>
    </x:xf>
    <x:xf numFmtId="0" fontId="2" fillId="6" borderId="22" xfId="0" applyNumberFormat="1" applyFont="1" applyFill="1" applyBorder="1" applyAlignment="1">
      <x:alignment wrapText="1"/>
    </x:xf>
    <x:xf numFmtId="0" fontId="2" fillId="6" borderId="23" xfId="0" applyNumberFormat="1" applyFont="1" applyFill="1" applyBorder="1" applyAlignment="1">
      <x:alignment wrapText="1"/>
    </x:xf>
    <x:xf numFmtId="0" fontId="2" fillId="6" borderId="21" xfId="0" applyNumberFormat="1" applyFont="1" applyFill="1" applyBorder="1" applyAlignment="1">
      <x:alignment horizontal="center" wrapText="1"/>
    </x:xf>
    <x:xf numFmtId="0" fontId="2" fillId="6" borderId="22" xfId="0" applyNumberFormat="1" applyFont="1" applyFill="1" applyBorder="1" applyAlignment="1">
      <x:alignment horizontal="center" wrapText="1"/>
    </x:xf>
    <x:xf numFmtId="0" fontId="2" fillId="6" borderId="23" xfId="0" applyNumberFormat="1" applyFont="1" applyFill="1" applyBorder="1" applyAlignment="1">
      <x:alignment horizontal="center" wrapText="1"/>
    </x:xf>
    <x:xf numFmtId="0" fontId="2" fillId="6" borderId="21" xfId="0" applyNumberFormat="1" applyFont="1" applyFill="1" applyBorder="1" applyAlignment="1">
      <x:alignment horizontal="center" vertical="center" wrapText="1"/>
    </x:xf>
    <x:xf numFmtId="0" fontId="2" fillId="6" borderId="22" xfId="0" applyNumberFormat="1" applyFont="1" applyFill="1" applyBorder="1" applyAlignment="1">
      <x:alignment horizontal="center" vertical="center" wrapText="1"/>
    </x:xf>
    <x:xf numFmtId="0" fontId="2" fillId="6" borderId="2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2" xfId="0" applyNumberFormat="1" applyFont="1" applyFill="1" applyBorder="1"/>
    <x:xf numFmtId="0" fontId="4" fillId="7" borderId="3" xfId="0" applyNumberFormat="1" applyFont="1" applyFill="1" applyBorder="1"/>
    <x:xf numFmtId="0" fontId="4" fillId="7" borderId="4" xfId="0" applyNumberFormat="1" applyFont="1" applyFill="1" applyBorder="1"/>
    <x:xf numFmtId="0" fontId="4" fillId="7" borderId="7" xfId="0" applyNumberFormat="1" applyFont="1" applyFill="1" applyBorder="1"/>
    <x:xf numFmtId="0" fontId="4" fillId="7" borderId="8" xfId="0" applyNumberFormat="1" applyFont="1" applyFill="1" applyBorder="1"/>
    <x:xf numFmtId="0" fontId="4" fillId="7" borderId="9" xfId="0" applyNumberFormat="1" applyFont="1" applyFill="1" applyBorder="1"/>
    <x:xf numFmtId="0" fontId="4" fillId="7" borderId="2" xfId="0" applyNumberFormat="1" applyFont="1" applyFill="1" applyBorder="1" applyAlignment="1">
      <x:alignment wrapText="1"/>
    </x:xf>
    <x:xf numFmtId="0" fontId="4" fillId="7" borderId="3" xfId="0" applyNumberFormat="1" applyFont="1" applyFill="1" applyBorder="1" applyAlignment="1">
      <x:alignment wrapText="1"/>
    </x:xf>
    <x:xf numFmtId="0" fontId="4" fillId="7" borderId="4" xfId="0" applyNumberFormat="1" applyFont="1" applyFill="1" applyBorder="1" applyAlignment="1">
      <x:alignment wrapText="1"/>
    </x:xf>
    <x:xf numFmtId="0" fontId="4" fillId="7" borderId="7" xfId="0" applyNumberFormat="1" applyFont="1" applyFill="1" applyBorder="1" applyAlignment="1">
      <x:alignment wrapText="1"/>
    </x:xf>
    <x:xf numFmtId="0" fontId="4" fillId="7" borderId="8" xfId="0" applyNumberFormat="1" applyFont="1" applyFill="1" applyBorder="1" applyAlignment="1">
      <x:alignment wrapText="1"/>
    </x:xf>
    <x:xf numFmtId="0" fontId="4" fillId="7" borderId="9" xfId="0" applyNumberFormat="1" applyFont="1" applyFill="1" applyBorder="1" applyAlignment="1">
      <x:alignment wrapText="1"/>
    </x:xf>
    <x:xf numFmtId="0" fontId="4" fillId="7" borderId="2" xfId="0" applyNumberFormat="1" applyFont="1" applyFill="1" applyBorder="1" applyAlignment="1">
      <x:alignment horizontal="center" wrapText="1"/>
    </x:xf>
    <x:xf numFmtId="0" fontId="4" fillId="7" borderId="3" xfId="0" applyNumberFormat="1" applyFont="1" applyFill="1" applyBorder="1" applyAlignment="1">
      <x:alignment horizontal="center" wrapText="1"/>
    </x:xf>
    <x:xf numFmtId="0" fontId="4" fillId="7" borderId="4" xfId="0" applyNumberFormat="1" applyFont="1" applyFill="1" applyBorder="1" applyAlignment="1">
      <x:alignment horizontal="center" wrapText="1"/>
    </x:xf>
    <x:xf numFmtId="0" fontId="4" fillId="7" borderId="7" xfId="0" applyNumberFormat="1" applyFont="1" applyFill="1" applyBorder="1" applyAlignment="1">
      <x:alignment horizontal="center" wrapText="1"/>
    </x:xf>
    <x:xf numFmtId="0" fontId="4" fillId="7" borderId="8" xfId="0" applyNumberFormat="1" applyFont="1" applyFill="1" applyBorder="1" applyAlignment="1">
      <x:alignment horizontal="center" wrapText="1"/>
    </x:xf>
    <x:xf numFmtId="0" fontId="4" fillId="7" borderId="9" xfId="0" applyNumberFormat="1" applyFont="1" applyFill="1" applyBorder="1" applyAlignment="1">
      <x:alignment horizontal="center" wrapText="1"/>
    </x:xf>
    <x:xf numFmtId="0" fontId="4" fillId="7" borderId="2" xfId="0" applyNumberFormat="1" applyFont="1" applyFill="1" applyBorder="1" applyAlignment="1">
      <x:alignment horizontal="center" vertical="center" wrapText="1"/>
    </x:xf>
    <x:xf numFmtId="0" fontId="4" fillId="7" borderId="3" xfId="0" applyNumberFormat="1" applyFont="1" applyFill="1" applyBorder="1" applyAlignment="1">
      <x:alignment horizontal="center" vertical="center" wrapText="1"/>
    </x:xf>
    <x:xf numFmtId="0" fontId="4" fillId="7" borderId="4" xfId="0" applyNumberFormat="1" applyFont="1" applyFill="1" applyBorder="1" applyAlignment="1">
      <x:alignment horizontal="center" vertical="center" wrapText="1"/>
    </x:xf>
    <x:xf numFmtId="0" fontId="4" fillId="7" borderId="7" xfId="0" applyNumberFormat="1" applyFont="1" applyFill="1" applyBorder="1" applyAlignment="1">
      <x:alignment horizontal="center" vertical="center" wrapText="1"/>
    </x:xf>
    <x:xf numFmtId="0" fontId="4" fillId="7" borderId="8" xfId="0" applyNumberFormat="1" applyFont="1" applyFill="1" applyBorder="1" applyAlignment="1">
      <x:alignment horizontal="center" vertical="center" wrapText="1"/>
    </x:xf>
    <x:xf numFmtId="0" fontId="4" fillId="7" borderId="9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10" xfId="0" applyNumberFormat="1" applyFont="1" applyFill="1" applyBorder="1"/>
    <x:xf numFmtId="0" fontId="4" fillId="7" borderId="11" xfId="0" applyNumberFormat="1" applyFont="1" applyFill="1" applyBorder="1"/>
    <x:xf numFmtId="0" fontId="4" fillId="7" borderId="12" xfId="0" applyNumberFormat="1" applyFont="1" applyFill="1" applyBorder="1"/>
    <x:xf numFmtId="0" fontId="4" fillId="7" borderId="15" xfId="0" applyNumberFormat="1" applyFont="1" applyFill="1" applyBorder="1"/>
    <x:xf numFmtId="0" fontId="4" fillId="7" borderId="16" xfId="0" applyNumberFormat="1" applyFont="1" applyFill="1" applyBorder="1"/>
    <x:xf numFmtId="0" fontId="4" fillId="7" borderId="17" xfId="0" applyNumberFormat="1" applyFont="1" applyFill="1" applyBorder="1"/>
    <x:xf numFmtId="0" fontId="4" fillId="7" borderId="10" xfId="0" applyNumberFormat="1" applyFont="1" applyFill="1" applyBorder="1" applyAlignment="1">
      <x:alignment wrapText="1"/>
    </x:xf>
    <x:xf numFmtId="0" fontId="4" fillId="7" borderId="11" xfId="0" applyNumberFormat="1" applyFont="1" applyFill="1" applyBorder="1" applyAlignment="1">
      <x:alignment wrapText="1"/>
    </x:xf>
    <x:xf numFmtId="0" fontId="4" fillId="7" borderId="12" xfId="0" applyNumberFormat="1" applyFont="1" applyFill="1" applyBorder="1" applyAlignment="1">
      <x:alignment wrapText="1"/>
    </x:xf>
    <x:xf numFmtId="0" fontId="4" fillId="7" borderId="15" xfId="0" applyNumberFormat="1" applyFont="1" applyFill="1" applyBorder="1" applyAlignment="1">
      <x:alignment wrapText="1"/>
    </x:xf>
    <x:xf numFmtId="0" fontId="4" fillId="7" borderId="16" xfId="0" applyNumberFormat="1" applyFont="1" applyFill="1" applyBorder="1" applyAlignment="1">
      <x:alignment wrapText="1"/>
    </x:xf>
    <x:xf numFmtId="0" fontId="4" fillId="7" borderId="17" xfId="0" applyNumberFormat="1" applyFont="1" applyFill="1" applyBorder="1" applyAlignment="1">
      <x:alignment wrapText="1"/>
    </x:xf>
    <x:xf numFmtId="0" fontId="4" fillId="7" borderId="10" xfId="0" applyNumberFormat="1" applyFont="1" applyFill="1" applyBorder="1" applyAlignment="1">
      <x:alignment horizontal="center" wrapText="1"/>
    </x:xf>
    <x:xf numFmtId="0" fontId="4" fillId="7" borderId="11" xfId="0" applyNumberFormat="1" applyFont="1" applyFill="1" applyBorder="1" applyAlignment="1">
      <x:alignment horizontal="center" wrapText="1"/>
    </x:xf>
    <x:xf numFmtId="0" fontId="4" fillId="7" borderId="12" xfId="0" applyNumberFormat="1" applyFont="1" applyFill="1" applyBorder="1" applyAlignment="1">
      <x:alignment horizontal="center" wrapText="1"/>
    </x:xf>
    <x:xf numFmtId="0" fontId="4" fillId="7" borderId="15" xfId="0" applyNumberFormat="1" applyFont="1" applyFill="1" applyBorder="1" applyAlignment="1">
      <x:alignment horizontal="center" wrapText="1"/>
    </x:xf>
    <x:xf numFmtId="0" fontId="4" fillId="7" borderId="16" xfId="0" applyNumberFormat="1" applyFont="1" applyFill="1" applyBorder="1" applyAlignment="1">
      <x:alignment horizontal="center" wrapText="1"/>
    </x:xf>
    <x:xf numFmtId="0" fontId="4" fillId="7" borderId="17" xfId="0" applyNumberFormat="1" applyFont="1" applyFill="1" applyBorder="1" applyAlignment="1">
      <x:alignment horizontal="center" wrapText="1"/>
    </x:xf>
    <x:xf numFmtId="0" fontId="4" fillId="7" borderId="10" xfId="0" applyNumberFormat="1" applyFont="1" applyFill="1" applyBorder="1" applyAlignment="1">
      <x:alignment horizontal="center" vertical="center" wrapText="1"/>
    </x:xf>
    <x:xf numFmtId="0" fontId="4" fillId="7" borderId="11" xfId="0" applyNumberFormat="1" applyFont="1" applyFill="1" applyBorder="1" applyAlignment="1">
      <x:alignment horizontal="center" vertical="center" wrapText="1"/>
    </x:xf>
    <x:xf numFmtId="0" fontId="4" fillId="7" borderId="12" xfId="0" applyNumberFormat="1" applyFont="1" applyFill="1" applyBorder="1" applyAlignment="1">
      <x:alignment horizontal="center" vertical="center" wrapText="1"/>
    </x:xf>
    <x:xf numFmtId="0" fontId="4" fillId="7" borderId="15" xfId="0" applyNumberFormat="1" applyFont="1" applyFill="1" applyBorder="1" applyAlignment="1">
      <x:alignment horizontal="center" vertical="center" wrapText="1"/>
    </x:xf>
    <x:xf numFmtId="0" fontId="4" fillId="7" borderId="16" xfId="0" applyNumberFormat="1" applyFont="1" applyFill="1" applyBorder="1" applyAlignment="1">
      <x:alignment horizontal="center" vertical="center" wrapText="1"/>
    </x:xf>
    <x:xf numFmtId="0" fontId="4" fillId="7" borderId="17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2" xfId="0" applyNumberFormat="1" applyFont="1" applyFill="1" applyBorder="1"/>
    <x:xf numFmtId="0" fontId="4" fillId="8" borderId="3" xfId="0" applyNumberFormat="1" applyFont="1" applyFill="1" applyBorder="1"/>
    <x:xf numFmtId="0" fontId="4" fillId="8" borderId="4" xfId="0" applyNumberFormat="1" applyFont="1" applyFill="1" applyBorder="1"/>
    <x:xf numFmtId="0" fontId="4" fillId="8" borderId="7" xfId="0" applyNumberFormat="1" applyFont="1" applyFill="1" applyBorder="1"/>
    <x:xf numFmtId="0" fontId="4" fillId="8" borderId="8" xfId="0" applyNumberFormat="1" applyFont="1" applyFill="1" applyBorder="1"/>
    <x:xf numFmtId="0" fontId="4" fillId="8" borderId="9" xfId="0" applyNumberFormat="1" applyFont="1" applyFill="1" applyBorder="1"/>
    <x:xf numFmtId="0" fontId="4" fillId="8" borderId="2" xfId="0" applyNumberFormat="1" applyFont="1" applyFill="1" applyBorder="1" applyAlignment="1">
      <x:alignment wrapText="1"/>
    </x:xf>
    <x:xf numFmtId="0" fontId="4" fillId="8" borderId="3" xfId="0" applyNumberFormat="1" applyFont="1" applyFill="1" applyBorder="1" applyAlignment="1">
      <x:alignment wrapText="1"/>
    </x:xf>
    <x:xf numFmtId="0" fontId="4" fillId="8" borderId="4" xfId="0" applyNumberFormat="1" applyFont="1" applyFill="1" applyBorder="1" applyAlignment="1">
      <x:alignment wrapText="1"/>
    </x:xf>
    <x:xf numFmtId="0" fontId="4" fillId="8" borderId="7" xfId="0" applyNumberFormat="1" applyFont="1" applyFill="1" applyBorder="1" applyAlignment="1">
      <x:alignment wrapText="1"/>
    </x:xf>
    <x:xf numFmtId="0" fontId="4" fillId="8" borderId="8" xfId="0" applyNumberFormat="1" applyFont="1" applyFill="1" applyBorder="1" applyAlignment="1">
      <x:alignment wrapText="1"/>
    </x:xf>
    <x:xf numFmtId="0" fontId="4" fillId="8" borderId="9" xfId="0" applyNumberFormat="1" applyFont="1" applyFill="1" applyBorder="1" applyAlignment="1">
      <x:alignment wrapText="1"/>
    </x:xf>
    <x:xf numFmtId="0" fontId="4" fillId="8" borderId="2" xfId="0" applyNumberFormat="1" applyFont="1" applyFill="1" applyBorder="1" applyAlignment="1">
      <x:alignment horizontal="center" wrapText="1"/>
    </x:xf>
    <x:xf numFmtId="0" fontId="4" fillId="8" borderId="3" xfId="0" applyNumberFormat="1" applyFont="1" applyFill="1" applyBorder="1" applyAlignment="1">
      <x:alignment horizontal="center" wrapText="1"/>
    </x:xf>
    <x:xf numFmtId="0" fontId="4" fillId="8" borderId="4" xfId="0" applyNumberFormat="1" applyFont="1" applyFill="1" applyBorder="1" applyAlignment="1">
      <x:alignment horizontal="center" wrapText="1"/>
    </x:xf>
    <x:xf numFmtId="0" fontId="4" fillId="8" borderId="7" xfId="0" applyNumberFormat="1" applyFont="1" applyFill="1" applyBorder="1" applyAlignment="1">
      <x:alignment horizontal="center" wrapText="1"/>
    </x:xf>
    <x:xf numFmtId="0" fontId="4" fillId="8" borderId="8" xfId="0" applyNumberFormat="1" applyFont="1" applyFill="1" applyBorder="1" applyAlignment="1">
      <x:alignment horizontal="center" wrapText="1"/>
    </x:xf>
    <x:xf numFmtId="0" fontId="4" fillId="8" borderId="9" xfId="0" applyNumberFormat="1" applyFont="1" applyFill="1" applyBorder="1" applyAlignment="1">
      <x:alignment horizontal="center" wrapText="1"/>
    </x:xf>
    <x:xf numFmtId="0" fontId="4" fillId="8" borderId="2" xfId="0" applyNumberFormat="1" applyFont="1" applyFill="1" applyBorder="1" applyAlignment="1">
      <x:alignment horizontal="center" vertical="center" wrapText="1"/>
    </x:xf>
    <x:xf numFmtId="0" fontId="4" fillId="8" borderId="3" xfId="0" applyNumberFormat="1" applyFont="1" applyFill="1" applyBorder="1" applyAlignment="1">
      <x:alignment horizontal="center" vertical="center" wrapText="1"/>
    </x:xf>
    <x:xf numFmtId="0" fontId="4" fillId="8" borderId="4" xfId="0" applyNumberFormat="1" applyFont="1" applyFill="1" applyBorder="1" applyAlignment="1">
      <x:alignment horizontal="center" vertical="center" wrapText="1"/>
    </x:xf>
    <x:xf numFmtId="0" fontId="4" fillId="8" borderId="7" xfId="0" applyNumberFormat="1" applyFont="1" applyFill="1" applyBorder="1" applyAlignment="1">
      <x:alignment horizontal="center" vertical="center" wrapText="1"/>
    </x:xf>
    <x:xf numFmtId="0" fontId="4" fillId="8" borderId="8" xfId="0" applyNumberFormat="1" applyFont="1" applyFill="1" applyBorder="1" applyAlignment="1">
      <x:alignment horizontal="center" vertical="center" wrapText="1"/>
    </x:xf>
    <x:xf numFmtId="0" fontId="4" fillId="8" borderId="9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4" fillId="8" borderId="1" xfId="0" applyNumberFormat="1" applyFont="1" applyFill="1" applyBorder="1"/>
    <x:xf numFmtId="0" fontId="4" fillId="8" borderId="10" xfId="0" applyNumberFormat="1" applyFont="1" applyFill="1" applyBorder="1"/>
    <x:xf numFmtId="0" fontId="4" fillId="8" borderId="11" xfId="0" applyNumberFormat="1" applyFont="1" applyFill="1" applyBorder="1"/>
    <x:xf numFmtId="0" fontId="4" fillId="8" borderId="12" xfId="0" applyNumberFormat="1" applyFont="1" applyFill="1" applyBorder="1"/>
    <x:xf numFmtId="0" fontId="4" fillId="8" borderId="15" xfId="0" applyNumberFormat="1" applyFont="1" applyFill="1" applyBorder="1"/>
    <x:xf numFmtId="0" fontId="4" fillId="8" borderId="16" xfId="0" applyNumberFormat="1" applyFont="1" applyFill="1" applyBorder="1"/>
    <x:xf numFmtId="0" fontId="4" fillId="8" borderId="17" xfId="0" applyNumberFormat="1" applyFont="1" applyFill="1" applyBorder="1"/>
    <x:xf numFmtId="0" fontId="4" fillId="8" borderId="10" xfId="0" applyNumberFormat="1" applyFont="1" applyFill="1" applyBorder="1" applyAlignment="1">
      <x:alignment wrapText="1"/>
    </x:xf>
    <x:xf numFmtId="0" fontId="4" fillId="8" borderId="11" xfId="0" applyNumberFormat="1" applyFont="1" applyFill="1" applyBorder="1" applyAlignment="1">
      <x:alignment wrapText="1"/>
    </x:xf>
    <x:xf numFmtId="0" fontId="4" fillId="8" borderId="12" xfId="0" applyNumberFormat="1" applyFont="1" applyFill="1" applyBorder="1" applyAlignment="1">
      <x:alignment wrapText="1"/>
    </x:xf>
    <x:xf numFmtId="0" fontId="4" fillId="8" borderId="15" xfId="0" applyNumberFormat="1" applyFont="1" applyFill="1" applyBorder="1" applyAlignment="1">
      <x:alignment wrapText="1"/>
    </x:xf>
    <x:xf numFmtId="0" fontId="4" fillId="8" borderId="16" xfId="0" applyNumberFormat="1" applyFont="1" applyFill="1" applyBorder="1" applyAlignment="1">
      <x:alignment wrapText="1"/>
    </x:xf>
    <x:xf numFmtId="0" fontId="4" fillId="8" borderId="17" xfId="0" applyNumberFormat="1" applyFont="1" applyFill="1" applyBorder="1" applyAlignment="1">
      <x:alignment wrapText="1"/>
    </x:xf>
    <x:xf numFmtId="0" fontId="4" fillId="8" borderId="10" xfId="0" applyNumberFormat="1" applyFont="1" applyFill="1" applyBorder="1" applyAlignment="1">
      <x:alignment horizontal="center" wrapText="1"/>
    </x:xf>
    <x:xf numFmtId="0" fontId="4" fillId="8" borderId="11" xfId="0" applyNumberFormat="1" applyFont="1" applyFill="1" applyBorder="1" applyAlignment="1">
      <x:alignment horizontal="center" wrapText="1"/>
    </x:xf>
    <x:xf numFmtId="0" fontId="4" fillId="8" borderId="12" xfId="0" applyNumberFormat="1" applyFont="1" applyFill="1" applyBorder="1" applyAlignment="1">
      <x:alignment horizontal="center" wrapText="1"/>
    </x:xf>
    <x:xf numFmtId="0" fontId="4" fillId="8" borderId="15" xfId="0" applyNumberFormat="1" applyFont="1" applyFill="1" applyBorder="1" applyAlignment="1">
      <x:alignment horizontal="center" wrapText="1"/>
    </x:xf>
    <x:xf numFmtId="0" fontId="4" fillId="8" borderId="16" xfId="0" applyNumberFormat="1" applyFont="1" applyFill="1" applyBorder="1" applyAlignment="1">
      <x:alignment horizontal="center" wrapText="1"/>
    </x:xf>
    <x:xf numFmtId="0" fontId="4" fillId="8" borderId="17" xfId="0" applyNumberFormat="1" applyFont="1" applyFill="1" applyBorder="1" applyAlignment="1">
      <x:alignment horizontal="center" wrapText="1"/>
    </x:xf>
    <x:xf numFmtId="0" fontId="4" fillId="8" borderId="10" xfId="0" applyNumberFormat="1" applyFont="1" applyFill="1" applyBorder="1" applyAlignment="1">
      <x:alignment horizontal="center" vertical="center" wrapText="1"/>
    </x:xf>
    <x:xf numFmtId="0" fontId="4" fillId="8" borderId="11" xfId="0" applyNumberFormat="1" applyFont="1" applyFill="1" applyBorder="1" applyAlignment="1">
      <x:alignment horizontal="center" vertical="center" wrapText="1"/>
    </x:xf>
    <x:xf numFmtId="0" fontId="4" fillId="8" borderId="12" xfId="0" applyNumberFormat="1" applyFont="1" applyFill="1" applyBorder="1" applyAlignment="1">
      <x:alignment horizontal="center" vertical="center" wrapText="1"/>
    </x:xf>
    <x:xf numFmtId="0" fontId="4" fillId="8" borderId="15" xfId="0" applyNumberFormat="1" applyFont="1" applyFill="1" applyBorder="1" applyAlignment="1">
      <x:alignment horizontal="center" vertical="center" wrapText="1"/>
    </x:xf>
    <x:xf numFmtId="0" fontId="4" fillId="8" borderId="16" xfId="0" applyNumberFormat="1" applyFont="1" applyFill="1" applyBorder="1" applyAlignment="1">
      <x:alignment horizontal="center" vertical="center" wrapText="1"/>
    </x:xf>
    <x:xf numFmtId="0" fontId="4" fillId="8" borderId="17" xfId="0" applyNumberFormat="1" applyFont="1" applyFill="1" applyBorder="1" applyAlignment="1">
      <x:alignment horizontal="center" vertical="center" wrapText="1"/>
    </x:xf>
    <x:xf numFmtId="0" fontId="0" fillId="9" borderId="2" xfId="0" applyNumberFormat="1" applyFont="1" applyFill="1" applyBorder="1"/>
    <x:xf numFmtId="0" fontId="0" fillId="9" borderId="3" xfId="0" applyNumberFormat="1" applyFont="1" applyFill="1" applyBorder="1"/>
    <x:xf numFmtId="0" fontId="0" fillId="9" borderId="4" xfId="0" applyNumberFormat="1" applyFont="1" applyFill="1" applyBorder="1"/>
    <x:xf numFmtId="0" fontId="2" fillId="9" borderId="2" xfId="0" applyNumberFormat="1" applyFont="1" applyFill="1" applyBorder="1"/>
    <x:xf numFmtId="0" fontId="2" fillId="9" borderId="3" xfId="0" applyNumberFormat="1" applyFont="1" applyFill="1" applyBorder="1"/>
    <x:xf numFmtId="0" fontId="2" fillId="9" borderId="4" xfId="0" applyNumberFormat="1" applyFont="1" applyFill="1" applyBorder="1"/>
    <x:xf numFmtId="0" fontId="2" fillId="9" borderId="18" xfId="0" applyNumberFormat="1" applyFont="1" applyFill="1" applyBorder="1"/>
    <x:xf numFmtId="0" fontId="2" fillId="9" borderId="19" xfId="0" applyNumberFormat="1" applyFont="1" applyFill="1" applyBorder="1"/>
    <x:xf numFmtId="0" fontId="2" fillId="9" borderId="20" xfId="0" applyNumberFormat="1" applyFont="1" applyFill="1" applyBorder="1"/>
    <x:xf numFmtId="0" fontId="2" fillId="9" borderId="18" xfId="0" applyNumberFormat="1" applyFont="1" applyFill="1" applyBorder="1" applyAlignment="1">
      <x:alignment wrapText="1"/>
    </x:xf>
    <x:xf numFmtId="0" fontId="2" fillId="9" borderId="19" xfId="0" applyNumberFormat="1" applyFont="1" applyFill="1" applyBorder="1" applyAlignment="1">
      <x:alignment wrapText="1"/>
    </x:xf>
    <x:xf numFmtId="0" fontId="2" fillId="9" borderId="20" xfId="0" applyNumberFormat="1" applyFont="1" applyFill="1" applyBorder="1" applyAlignment="1">
      <x:alignment wrapText="1"/>
    </x:xf>
    <x:xf numFmtId="0" fontId="2" fillId="9" borderId="18" xfId="0" applyNumberFormat="1" applyFont="1" applyFill="1" applyBorder="1" applyAlignment="1">
      <x:alignment horizontal="center" wrapText="1"/>
    </x:xf>
    <x:xf numFmtId="0" fontId="2" fillId="9" borderId="19" xfId="0" applyNumberFormat="1" applyFont="1" applyFill="1" applyBorder="1" applyAlignment="1">
      <x:alignment horizontal="center" wrapText="1"/>
    </x:xf>
    <x:xf numFmtId="0" fontId="2" fillId="9" borderId="20" xfId="0" applyNumberFormat="1" applyFont="1" applyFill="1" applyBorder="1" applyAlignment="1">
      <x:alignment horizontal="center" wrapText="1"/>
    </x:xf>
    <x:xf numFmtId="0" fontId="2" fillId="9" borderId="18" xfId="0" applyNumberFormat="1" applyFont="1" applyFill="1" applyBorder="1" applyAlignment="1">
      <x:alignment horizontal="center" vertical="center" wrapText="1"/>
    </x:xf>
    <x:xf numFmtId="0" fontId="2" fillId="9" borderId="19" xfId="0" applyNumberFormat="1" applyFont="1" applyFill="1" applyBorder="1" applyAlignment="1">
      <x:alignment horizontal="center" vertical="center" wrapText="1"/>
    </x:xf>
    <x:xf numFmtId="0" fontId="2" fillId="9" borderId="2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0" xfId="0" applyNumberFormat="1" applyFont="1" applyFill="1" applyBorder="1" applyAlignment="1">
      <x:alignment wrapText="1"/>
    </x:xf>
    <x:xf numFmtId="0" fontId="4" fillId="10" borderId="0" xfId="0" applyNumberFormat="1" applyFont="1" applyFill="1" applyBorder="1" applyAlignment="1">
      <x:alignment horizontal="center" wrapText="1"/>
    </x:xf>
    <x:xf numFmtId="0" fontId="4" fillId="10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6" fillId="11" borderId="0" xfId="0" applyNumberFormat="1" applyFont="1" applyFill="1" applyBorder="1"/>
    <x:xf numFmtId="0" fontId="6" fillId="11" borderId="0" xfId="0" applyNumberFormat="1" applyFont="1" applyFill="1" applyBorder="1" applyAlignment="1">
      <x:alignment wrapText="1"/>
    </x:xf>
    <x:xf numFmtId="0" fontId="6" fillId="11" borderId="0" xfId="0" applyNumberFormat="1" applyFont="1" applyFill="1" applyBorder="1" applyAlignment="1">
      <x:alignment horizontal="center" wrapText="1"/>
    </x:xf>
    <x:xf numFmtId="0" fontId="6" fillId="11" borderId="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7" fillId="12" borderId="0" xfId="0" applyNumberFormat="1" applyFont="1" applyFill="1" applyBorder="1"/>
    <x:xf numFmtId="0" fontId="7" fillId="12" borderId="18" xfId="0" applyNumberFormat="1" applyFont="1" applyFill="1" applyBorder="1"/>
    <x:xf numFmtId="0" fontId="7" fillId="12" borderId="19" xfId="0" applyNumberFormat="1" applyFont="1" applyFill="1" applyBorder="1"/>
    <x:xf numFmtId="0" fontId="7" fillId="12" borderId="20" xfId="0" applyNumberFormat="1" applyFont="1" applyFill="1" applyBorder="1"/>
    <x:xf numFmtId="0" fontId="7" fillId="12" borderId="18" xfId="0" applyNumberFormat="1" applyFont="1" applyFill="1" applyBorder="1" applyAlignment="1">
      <x:alignment wrapText="1"/>
    </x:xf>
    <x:xf numFmtId="0" fontId="7" fillId="12" borderId="19" xfId="0" applyNumberFormat="1" applyFont="1" applyFill="1" applyBorder="1" applyAlignment="1">
      <x:alignment wrapText="1"/>
    </x:xf>
    <x:xf numFmtId="0" fontId="7" fillId="12" borderId="20" xfId="0" applyNumberFormat="1" applyFont="1" applyFill="1" applyBorder="1" applyAlignment="1">
      <x:alignment wrapText="1"/>
    </x:xf>
    <x:xf numFmtId="0" fontId="7" fillId="12" borderId="18" xfId="0" applyNumberFormat="1" applyFont="1" applyFill="1" applyBorder="1" applyAlignment="1">
      <x:alignment horizontal="center" wrapText="1"/>
    </x:xf>
    <x:xf numFmtId="0" fontId="7" fillId="12" borderId="19" xfId="0" applyNumberFormat="1" applyFont="1" applyFill="1" applyBorder="1" applyAlignment="1">
      <x:alignment horizontal="center" wrapText="1"/>
    </x:xf>
    <x:xf numFmtId="0" fontId="7" fillId="12" borderId="20" xfId="0" applyNumberFormat="1" applyFont="1" applyFill="1" applyBorder="1" applyAlignment="1">
      <x:alignment horizontal="center" wrapText="1"/>
    </x:xf>
    <x:xf numFmtId="0" fontId="7" fillId="12" borderId="18" xfId="0" applyNumberFormat="1" applyFont="1" applyFill="1" applyBorder="1" applyAlignment="1">
      <x:alignment horizontal="center" vertical="center" wrapText="1"/>
    </x:xf>
    <x:xf numFmtId="0" fontId="7" fillId="12" borderId="19" xfId="0" applyNumberFormat="1" applyFont="1" applyFill="1" applyBorder="1" applyAlignment="1">
      <x:alignment horizontal="center" vertical="center" wrapText="1"/>
    </x:xf>
    <x:xf numFmtId="0" fontId="7" fillId="12" borderId="20" xfId="0" applyNumberFormat="1" applyFont="1" applyFill="1" applyBorder="1" applyAlignment="1">
      <x:alignment horizontal="center" vertical="center" wrapText="1"/>
    </x:xf>
    <x:xf numFmtId="0" fontId="0" fillId="0" xfId="0" applyNumberFormat="1" applyFont="1" applyFill="1" applyBorder="0"/>
    <x:xf numFmtId="0" fontId="0" fillId="0" xfId="0" applyNumberFormat="1" applyFont="1" applyFill="1" applyBorder="0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xfId="0" applyNumberFormat="1" applyFont="1" applyFill="1" applyBorder="0" applyAlignment="1">
      <x:alignment wrapText="1"/>
    </x:xf>
    <x:xf numFmtId="0" fontId="0" fillId="13" borderId="0" xfId="0" applyNumberFormat="1" applyFont="1" applyFill="1" applyBorder="1"/>
    <x:xf numFmtId="0" fontId="7" fillId="13" borderId="0" xfId="0" applyNumberFormat="1" applyFont="1" applyFill="1" applyBorder="1"/>
    <x:xf numFmtId="0" fontId="7" fillId="13" borderId="18" xfId="0" applyNumberFormat="1" applyFont="1" applyFill="1" applyBorder="1"/>
    <x:xf numFmtId="0" fontId="7" fillId="13" borderId="19" xfId="0" applyNumberFormat="1" applyFont="1" applyFill="1" applyBorder="1"/>
    <x:xf numFmtId="0" fontId="7" fillId="13" borderId="20" xfId="0" applyNumberFormat="1" applyFont="1" applyFill="1" applyBorder="1"/>
    <x:xf numFmtId="0" fontId="7" fillId="13" borderId="18" xfId="0" applyNumberFormat="1" applyFont="1" applyFill="1" applyBorder="1" applyAlignment="1">
      <x:alignment wrapText="1"/>
    </x:xf>
    <x:xf numFmtId="0" fontId="7" fillId="13" borderId="19" xfId="0" applyNumberFormat="1" applyFont="1" applyFill="1" applyBorder="1" applyAlignment="1">
      <x:alignment wrapText="1"/>
    </x:xf>
    <x:xf numFmtId="0" fontId="7" fillId="13" borderId="20" xfId="0" applyNumberFormat="1" applyFont="1" applyFill="1" applyBorder="1" applyAlignment="1">
      <x:alignment wrapText="1"/>
    </x:xf>
    <x:xf numFmtId="0" fontId="7" fillId="13" borderId="18" xfId="0" applyNumberFormat="1" applyFont="1" applyFill="1" applyBorder="1" applyAlignment="1">
      <x:alignment horizontal="center" wrapText="1"/>
    </x:xf>
    <x:xf numFmtId="0" fontId="7" fillId="13" borderId="19" xfId="0" applyNumberFormat="1" applyFont="1" applyFill="1" applyBorder="1" applyAlignment="1">
      <x:alignment horizontal="center" wrapText="1"/>
    </x:xf>
    <x:xf numFmtId="0" fontId="7" fillId="13" borderId="20" xfId="0" applyNumberFormat="1" applyFont="1" applyFill="1" applyBorder="1" applyAlignment="1">
      <x:alignment horizontal="center" wrapText="1"/>
    </x:xf>
    <x:xf numFmtId="0" fontId="7" fillId="13" borderId="18" xfId="0" applyNumberFormat="1" applyFont="1" applyFill="1" applyBorder="1" applyAlignment="1">
      <x:alignment horizontal="center" vertical="center" wrapText="1"/>
    </x:xf>
    <x:xf numFmtId="0" fontId="7" fillId="13" borderId="19" xfId="0" applyNumberFormat="1" applyFont="1" applyFill="1" applyBorder="1" applyAlignment="1">
      <x:alignment horizontal="center" vertical="center" wrapText="1"/>
    </x:xf>
    <x:xf numFmtId="0" fontId="7" fillId="13" borderId="2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2" xfId="0" applyNumberFormat="1" applyFont="1" applyFill="1" applyBorder="1"/>
    <x:xf numFmtId="0" fontId="3" fillId="14" borderId="3" xfId="0" applyNumberFormat="1" applyFont="1" applyFill="1" applyBorder="1"/>
    <x:xf numFmtId="0" fontId="3" fillId="14" borderId="4" xfId="0" applyNumberFormat="1" applyFont="1" applyFill="1" applyBorder="1"/>
    <x:xf numFmtId="0" fontId="3" fillId="14" borderId="5" xfId="0" applyNumberFormat="1" applyFont="1" applyFill="1" applyBorder="1"/>
    <x:xf numFmtId="0" fontId="3" fillId="14" xfId="0" applyNumberFormat="1" applyFont="1" applyFill="1" applyBorder="0"/>
    <x:xf numFmtId="0" fontId="3" fillId="14" borderId="6" xfId="0" applyNumberFormat="1" applyFont="1" applyFill="1" applyBorder="1"/>
    <x:xf numFmtId="0" fontId="3" fillId="14" borderId="7" xfId="0" applyNumberFormat="1" applyFont="1" applyFill="1" applyBorder="1"/>
    <x:xf numFmtId="0" fontId="3" fillId="14" borderId="8" xfId="0" applyNumberFormat="1" applyFont="1" applyFill="1" applyBorder="1"/>
    <x:xf numFmtId="0" fontId="3" fillId="14" borderId="9" xfId="0" applyNumberFormat="1" applyFont="1" applyFill="1" applyBorder="1"/>
    <x:xf numFmtId="0" fontId="3" fillId="14" borderId="2" xfId="0" applyNumberFormat="1" applyFont="1" applyFill="1" applyBorder="1" applyAlignment="1">
      <x:alignment wrapText="1"/>
    </x:xf>
    <x:xf numFmtId="0" fontId="3" fillId="14" borderId="3" xfId="0" applyNumberFormat="1" applyFont="1" applyFill="1" applyBorder="1" applyAlignment="1">
      <x:alignment wrapText="1"/>
    </x:xf>
    <x:xf numFmtId="0" fontId="3" fillId="14" borderId="4" xfId="0" applyNumberFormat="1" applyFont="1" applyFill="1" applyBorder="1" applyAlignment="1">
      <x:alignment wrapText="1"/>
    </x:xf>
    <x:xf numFmtId="0" fontId="3" fillId="14" borderId="5" xfId="0" applyNumberFormat="1" applyFont="1" applyFill="1" applyBorder="1" applyAlignment="1">
      <x:alignment wrapText="1"/>
    </x:xf>
    <x:xf numFmtId="0" fontId="3" fillId="14" xfId="0" applyNumberFormat="1" applyFont="1" applyFill="1" applyBorder="0" applyAlignment="1">
      <x:alignment wrapText="1"/>
    </x:xf>
    <x:xf numFmtId="0" fontId="3" fillId="14" borderId="6" xfId="0" applyNumberFormat="1" applyFont="1" applyFill="1" applyBorder="1" applyAlignment="1">
      <x:alignment wrapText="1"/>
    </x:xf>
    <x:xf numFmtId="0" fontId="3" fillId="14" borderId="7" xfId="0" applyNumberFormat="1" applyFont="1" applyFill="1" applyBorder="1" applyAlignment="1">
      <x:alignment wrapText="1"/>
    </x:xf>
    <x:xf numFmtId="0" fontId="3" fillId="14" borderId="8" xfId="0" applyNumberFormat="1" applyFont="1" applyFill="1" applyBorder="1" applyAlignment="1">
      <x:alignment wrapText="1"/>
    </x:xf>
    <x:xf numFmtId="0" fontId="3" fillId="14" borderId="9" xfId="0" applyNumberFormat="1" applyFont="1" applyFill="1" applyBorder="1" applyAlignment="1">
      <x:alignment wrapText="1"/>
    </x:xf>
    <x:xf numFmtId="0" fontId="0" fillId="15" borderId="2" xfId="0" applyNumberFormat="1" applyFont="1" applyFill="1" applyBorder="1"/>
    <x:xf numFmtId="0" fontId="0" fillId="15" borderId="3" xfId="0" applyNumberFormat="1" applyFont="1" applyFill="1" applyBorder="1"/>
    <x:xf numFmtId="0" fontId="0" fillId="15" borderId="4" xfId="0" applyNumberFormat="1" applyFont="1" applyFill="1" applyBorder="1"/>
    <x:xf numFmtId="0" fontId="8" fillId="15" borderId="2" xfId="0" applyNumberFormat="1" applyFont="1" applyFill="1" applyBorder="1"/>
    <x:xf numFmtId="0" fontId="8" fillId="15" borderId="3" xfId="0" applyNumberFormat="1" applyFont="1" applyFill="1" applyBorder="1"/>
    <x:xf numFmtId="0" fontId="8" fillId="15" borderId="4" xfId="0" applyNumberFormat="1" applyFont="1" applyFill="1" applyBorder="1"/>
    <x:xf numFmtId="0" fontId="8" fillId="15" borderId="18" xfId="0" applyNumberFormat="1" applyFont="1" applyFill="1" applyBorder="1"/>
    <x:xf numFmtId="0" fontId="8" fillId="15" borderId="19" xfId="0" applyNumberFormat="1" applyFont="1" applyFill="1" applyBorder="1"/>
    <x:xf numFmtId="0" fontId="8" fillId="15" borderId="20" xfId="0" applyNumberFormat="1" applyFont="1" applyFill="1" applyBorder="1"/>
    <x:xf numFmtId="0" fontId="8" fillId="15" borderId="18" xfId="0" applyNumberFormat="1" applyFont="1" applyFill="1" applyBorder="1" applyAlignment="1">
      <x:alignment horizontal="center"/>
    </x:xf>
    <x:xf numFmtId="0" fontId="8" fillId="15" borderId="19" xfId="0" applyNumberFormat="1" applyFont="1" applyFill="1" applyBorder="1" applyAlignment="1">
      <x:alignment horizontal="center"/>
    </x:xf>
    <x:xf numFmtId="0" fontId="8" fillId="15" borderId="20" xfId="0" applyNumberFormat="1" applyFont="1" applyFill="1" applyBorder="1" applyAlignment="1">
      <x:alignment horizontal="center"/>
    </x:xf>
    <x:xf numFmtId="0" fontId="8" fillId="15" borderId="18" xfId="0" applyNumberFormat="1" applyFont="1" applyFill="1" applyBorder="1" applyAlignment="1">
      <x:alignment horizontal="center" vertical="center"/>
    </x:xf>
    <x:xf numFmtId="0" fontId="8" fillId="15" borderId="19" xfId="0" applyNumberFormat="1" applyFont="1" applyFill="1" applyBorder="1" applyAlignment="1">
      <x:alignment horizontal="center" vertical="center"/>
    </x:xf>
    <x:xf numFmtId="0" fontId="8" fillId="15" borderId="20" xfId="0" applyNumberFormat="1" applyFont="1" applyFill="1" applyBorder="1" applyAlignment="1">
      <x:alignment horizontal="center" vertical="center"/>
    </x:xf>
    <x:xf numFmtId="0" fontId="8" fillId="15" borderId="18" xfId="0" applyNumberFormat="1" applyFont="1" applyFill="1" applyBorder="1" applyAlignment="1">
      <x:alignment horizontal="center" vertical="center" wrapText="1"/>
    </x:xf>
    <x:xf numFmtId="0" fontId="8" fillId="15" borderId="19" xfId="0" applyNumberFormat="1" applyFont="1" applyFill="1" applyBorder="1" applyAlignment="1">
      <x:alignment horizontal="center" vertical="center" wrapText="1"/>
    </x:xf>
    <x:xf numFmtId="0" fontId="8" fillId="15" borderId="20" xfId="0" applyNumberFormat="1" applyFont="1" applyFill="1" applyBorder="1" applyAlignment="1">
      <x:alignment horizontal="center" vertical="center" wrapText="1"/>
    </x:xf>
    <x:xf numFmtId="0" fontId="0" fillId="16" borderId="2" xfId="0" applyNumberFormat="1" applyFont="1" applyFill="1" applyBorder="1"/>
    <x:xf numFmtId="0" fontId="0" fillId="16" borderId="3" xfId="0" applyNumberFormat="1" applyFont="1" applyFill="1" applyBorder="1"/>
    <x:xf numFmtId="0" fontId="0" fillId="16" borderId="4" xfId="0" applyNumberFormat="1" applyFont="1" applyFill="1" applyBorder="1"/>
    <x:xf numFmtId="0" fontId="7" fillId="16" borderId="2" xfId="0" applyNumberFormat="1" applyFont="1" applyFill="1" applyBorder="1"/>
    <x:xf numFmtId="0" fontId="7" fillId="16" borderId="3" xfId="0" applyNumberFormat="1" applyFont="1" applyFill="1" applyBorder="1"/>
    <x:xf numFmtId="0" fontId="7" fillId="16" borderId="4" xfId="0" applyNumberFormat="1" applyFont="1" applyFill="1" applyBorder="1"/>
    <x:xf numFmtId="0" fontId="7" fillId="16" borderId="18" xfId="0" applyNumberFormat="1" applyFont="1" applyFill="1" applyBorder="1"/>
    <x:xf numFmtId="0" fontId="7" fillId="16" borderId="19" xfId="0" applyNumberFormat="1" applyFont="1" applyFill="1" applyBorder="1"/>
    <x:xf numFmtId="0" fontId="7" fillId="16" borderId="20" xfId="0" applyNumberFormat="1" applyFont="1" applyFill="1" applyBorder="1"/>
    <x:xf numFmtId="0" fontId="7" fillId="16" borderId="18" xfId="0" applyNumberFormat="1" applyFont="1" applyFill="1" applyBorder="1" applyAlignment="1">
      <x:alignment horizontal="center"/>
    </x:xf>
    <x:xf numFmtId="0" fontId="7" fillId="16" borderId="19" xfId="0" applyNumberFormat="1" applyFont="1" applyFill="1" applyBorder="1" applyAlignment="1">
      <x:alignment horizontal="center"/>
    </x:xf>
    <x:xf numFmtId="0" fontId="7" fillId="16" borderId="20" xfId="0" applyNumberFormat="1" applyFont="1" applyFill="1" applyBorder="1" applyAlignment="1">
      <x:alignment horizontal="center"/>
    </x:xf>
    <x:xf numFmtId="0" fontId="7" fillId="16" borderId="18" xfId="0" applyNumberFormat="1" applyFont="1" applyFill="1" applyBorder="1" applyAlignment="1">
      <x:alignment horizontal="center" vertical="center"/>
    </x:xf>
    <x:xf numFmtId="0" fontId="7" fillId="16" borderId="19" xfId="0" applyNumberFormat="1" applyFont="1" applyFill="1" applyBorder="1" applyAlignment="1">
      <x:alignment horizontal="center" vertical="center"/>
    </x:xf>
    <x:xf numFmtId="0" fontId="7" fillId="16" borderId="2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3e2b39adf1464e" /><Relationship Type="http://schemas.openxmlformats.org/officeDocument/2006/relationships/theme" Target="/xl/theme/theme1.xml" Id="R9f484ef7b0b14318" /><Relationship Type="http://schemas.openxmlformats.org/officeDocument/2006/relationships/sharedStrings" Target="/xl/sharedStrings.xml" Id="R9ccb8e088c7845fb" /><Relationship Type="http://schemas.openxmlformats.org/officeDocument/2006/relationships/worksheet" Target="/xl/worksheets/sheet1.xml" Id="R00186d3277ca45d1" /><Relationship Type="http://schemas.openxmlformats.org/officeDocument/2006/relationships/worksheet" Target="/xl/worksheets/sheet2.xml" Id="R71d84b387ac04f85" /><Relationship Type="http://schemas.openxmlformats.org/officeDocument/2006/relationships/worksheet" Target="/xl/worksheets/sheet3.xml" Id="R9f72b5687fbe4e70" /><Relationship Type="http://schemas.openxmlformats.org/officeDocument/2006/relationships/worksheet" Target="/xl/worksheets/sheet4.xml" Id="Rd1a4378dcbe946c6" /><Relationship Type="http://schemas.openxmlformats.org/officeDocument/2006/relationships/worksheet" Target="/xl/worksheets/sheet5.xml" Id="Ra38f3ed974384041" /><Relationship Type="http://schemas.openxmlformats.org/officeDocument/2006/relationships/worksheet" Target="/xl/worksheets/sheet6.xml" Id="Rd68405b5166f4b20" /><Relationship Type="http://schemas.openxmlformats.org/officeDocument/2006/relationships/worksheet" Target="/xl/worksheets/sheet7.xml" Id="R989795ee89d0416f" /><Relationship Type="http://schemas.openxmlformats.org/officeDocument/2006/relationships/worksheet" Target="/xl/worksheets/sheet8.xml" Id="R37975d04d7c44e27" /><Relationship Type="http://schemas.openxmlformats.org/officeDocument/2006/relationships/worksheet" Target="/xl/worksheets/sheet9.xml" Id="R1300a14d815b42f2" /><Relationship Type="http://schemas.openxmlformats.org/officeDocument/2006/relationships/worksheet" Target="/xl/worksheets/sheet10.xml" Id="R413f8b4542544599" /><Relationship Type="http://schemas.openxmlformats.org/officeDocument/2006/relationships/worksheet" Target="/xl/worksheets/sheet11.xml" Id="Rc0ea75b161a648a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c918614c47de49fa" /><Relationship Type="http://schemas.openxmlformats.org/officeDocument/2006/relationships/chart" Target="/xl/drawings/charts/chart1.xml" Id="Rcc548a6371a3454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c239beaa46cb4fa6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d7eb0c821a2a4183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ea633af2b1fc44fc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5.png" Id="Redaea966ed6e437f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6.png" Id="R8c35380213fa4c4e" /><Relationship Type="http://schemas.openxmlformats.org/officeDocument/2006/relationships/chart" Target="/xl/drawings/charts/chart2.xml" Id="Rc4d452b83ada4e57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7.png" Id="R2d0652dbb46b4910" /><Relationship Type="http://schemas.openxmlformats.org/officeDocument/2006/relationships/image" Target="/xl/media/image8.png" Id="Raee9d55507994576" /><Relationship Type="http://schemas.openxmlformats.org/officeDocument/2006/relationships/image" Target="/xl/media/image9.png" Id="R339b5b315d654bc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Oven result overview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'요약본'!$B$14:$B$16</c:f>
              <c:strCache>
                <c:ptCount val="0"/>
              </c:strCache>
            </c:strRef>
          </c:cat>
          <c:val>
            <c:numRef>
              <c:f>'요약본'!$C$14:$C$16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Series 2</c:v>
          </c:tx>
          <c:cat>
            <c:strRef>
              <c:f>'요약본'!$B$14:$B$16</c:f>
              <c:strCache>
                <c:ptCount val="0"/>
              </c:strCache>
            </c:strRef>
          </c:cat>
          <c:val>
            <c:numRef>
              <c:f>'요약본'!$D$14:$D$16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Series 3</c:v>
          </c:tx>
          <c:cat>
            <c:strRef>
              <c:f>'요약본'!$B$14:$B$16</c:f>
              <c:strCache>
                <c:ptCount val="0"/>
              </c:strCache>
            </c:strRef>
          </c:cat>
          <c:val>
            <c:numRef>
              <c:f>'요약본'!$E$14:$E$16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Series 4</c:v>
          </c:tx>
          <c:cat>
            <c:strRef>
              <c:f>'요약본'!$B$14:$B$16</c:f>
              <c:strCache>
                <c:ptCount val="0"/>
              </c:strCache>
            </c:strRef>
          </c:cat>
          <c:val>
            <c:numRef>
              <c:f>'요약본'!$F$14:$F$16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Series 5</c:v>
          </c:tx>
          <c:cat>
            <c:strRef>
              <c:f>'요약본'!$B$14:$B$16</c:f>
              <c:strCache>
                <c:ptCount val="0"/>
              </c:strCache>
            </c:strRef>
          </c:cat>
          <c:val>
            <c:numRef>
              <c:f>'요약본'!$G$14:$G$16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option 비교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기본</c:v>
          </c:tx>
          <c:cat>
            <c:strRef>
              <c:f>'토핑_판매분석'!$D$8:$D$10</c:f>
              <c:strCache>
                <c:ptCount val="0"/>
              </c:strCache>
            </c:strRef>
          </c:cat>
          <c:val>
            <c:numRef>
              <c:f>'토핑_판매분석'!$E$8:$E$10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럼 추가</c:v>
          </c:tx>
          <c:cat>
            <c:strRef>
              <c:f>'토핑_판매분석'!$D$8:$D$10</c:f>
              <c:strCache>
                <c:ptCount val="0"/>
              </c:strCache>
            </c:strRef>
          </c:cat>
          <c:val>
            <c:numRef>
              <c:f>'토핑_판매분석'!$F$8:$F$10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설탕 코팅</c:v>
          </c:tx>
          <c:cat>
            <c:strRef>
              <c:f>'토핑_판매분석'!$D$8:$D$10</c:f>
              <c:strCache>
                <c:ptCount val="0"/>
              </c:strCache>
            </c:strRef>
          </c:cat>
          <c:val>
            <c:numRef>
              <c:f>'토핑_판매분석'!$G$8:$G$10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토핑</c:v>
          </c:tx>
          <c:cat>
            <c:strRef>
              <c:f>'토핑_판매분석'!$D$8:$D$10</c:f>
              <c:strCache>
                <c:ptCount val="0"/>
              </c:strCache>
            </c:strRef>
          </c:cat>
          <c:val>
            <c:numRef>
              <c:f>'토핑_판매분석'!$H$8:$H$10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럼+토핑</c:v>
          </c:tx>
          <c:cat>
            <c:strRef>
              <c:f>'토핑_판매분석'!$D$8:$D$10</c:f>
              <c:strCache>
                <c:ptCount val="0"/>
              </c:strCache>
            </c:strRef>
          </c:cat>
          <c:val>
            <c:numRef>
              <c:f>'토핑_판매분석'!$I$8:$I$10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v>코팅+토핑</c:v>
          </c:tx>
          <c:cat>
            <c:strRef>
              <c:f>'토핑_판매분석'!$D$8:$D$10</c:f>
              <c:strCache>
                <c:ptCount val="0"/>
              </c:strCache>
            </c:strRef>
          </c:cat>
          <c:val>
            <c:numRef>
              <c:f>'토핑_판매분석'!$J$8:$J$10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19</xdr:row>
      <xdr:rowOff>0</xdr:rowOff>
    </xdr:from>
    <xdr:to>
      <xdr:col>10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c548a6371a34544"/>
        </a:graphicData>
      </a:graphic>
    </xdr:graphicFrame>
    <xdr:clientData/>
  </xdr:twoCellAnchor>
  <xdr:oneCellAnchor>
    <xdr:from>
      <xdr:col>13</xdr:col>
      <xdr:colOff>0</xdr:colOff>
      <xdr:row>15</xdr:row>
      <xdr:rowOff>0</xdr:rowOff>
    </xdr:from>
    <xdr:ext cx="2857500" cy="1333500"/>
    <xdr:pic>
      <xdr:nvPicPr>
        <xdr:cNvPr id="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18614c47de49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16</xdr:col>
      <xdr:colOff>0</xdr:colOff>
      <xdr:row>14</xdr:row>
      <xdr:rowOff>0</xdr:rowOff>
    </xdr:from>
    <xdr:ext cx="2381250" cy="1143000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39beaa46cb4fa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20</xdr:col>
      <xdr:colOff>0</xdr:colOff>
      <xdr:row>12</xdr:row>
      <xdr:rowOff>0</xdr:rowOff>
    </xdr:from>
    <xdr:ext cx="2286000" cy="1047750"/>
    <xdr:pic>
      <xdr:nvPicPr>
        <xdr:cNvPr id="1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eb0c821a2a418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20</xdr:col>
      <xdr:colOff>0</xdr:colOff>
      <xdr:row>12</xdr:row>
      <xdr:rowOff>0</xdr:rowOff>
    </xdr:from>
    <xdr:ext cx="2286000" cy="1047750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633af2b1fc44f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20</xdr:col>
      <xdr:colOff>0</xdr:colOff>
      <xdr:row>12</xdr:row>
      <xdr:rowOff>0</xdr:rowOff>
    </xdr:from>
    <xdr:ext cx="2286000" cy="1047750"/>
    <xdr:pic>
      <xdr:nvPicPr>
        <xdr:cNvPr id="1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aea966ed6e43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twoCellAnchor>
    <xdr:from>
      <xdr:col>3</xdr:col>
      <xdr:colOff>0</xdr:colOff>
      <xdr:row>13</xdr:row>
      <xdr:rowOff>0</xdr:rowOff>
    </xdr:from>
    <xdr:to>
      <xdr:col>12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4d452b83ada4e57"/>
        </a:graphicData>
      </a:graphic>
    </xdr:graphicFrame>
    <xdr:clientData/>
  </xdr:twoCellAnchor>
  <xdr:oneCellAnchor>
    <xdr:from>
      <xdr:col>17</xdr:col>
      <xdr:colOff>0</xdr:colOff>
      <xdr:row>5</xdr:row>
      <xdr:rowOff>0</xdr:rowOff>
    </xdr:from>
    <xdr:ext cx="2381250" cy="1095375"/>
    <xdr:pic>
      <xdr:nvPicPr>
        <xdr:cNvPr id="2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35380213fa4c4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7.xml><?xml version="1.0" encoding="utf-8"?>
<xdr:wsDr xmlns:xdr="http://schemas.openxmlformats.org/drawingml/2006/spreadsheetDrawing">
  <xdr:oneCellAnchor>
    <xdr:from>
      <xdr:col>9</xdr:col>
      <xdr:colOff>0</xdr:colOff>
      <xdr:row>6</xdr:row>
      <xdr:rowOff>0</xdr:rowOff>
    </xdr:from>
    <xdr:ext cx="2762250" cy="2095500"/>
    <xdr:pic>
      <xdr:nvPicPr>
        <xdr:cNvPr id="1" name="eed88074-62c3-4637-824c-5c39f0759ee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d0652dbb46b49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6</xdr:row>
      <xdr:rowOff>0</xdr:rowOff>
    </xdr:from>
    <xdr:ext cx="2762250" cy="2095500"/>
    <xdr:pic>
      <xdr:nvPicPr>
        <xdr:cNvPr id="2" name="aee71b70-f8dc-4e32-84f1-330e00d8165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ee9d5550799457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19</xdr:row>
      <xdr:rowOff>0</xdr:rowOff>
    </xdr:from>
    <xdr:ext cx="2762250" cy="2095500"/>
    <xdr:pic>
      <xdr:nvPicPr>
        <xdr:cNvPr id="3" name="d804893e-c0fe-45fe-9f6e-31b08afa32d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9b5b315d654bc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5473f83414a484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7e2171f03de54e5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0b97e391f1e84c3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bb8331d4c4764ae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5.xml" Id="Rc5a8b1559cba4eb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6.xml" Id="R8206f481ad8c452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7.xml" Id="R17fca287ab894069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</x:cols>
  <x:sheetData>
    <x:row r="5">
      <x:c r="B5" s="6" t="str">
        <x:v>치즈 휘낭시에 — 실험 종합 / Cheese FINANCIER</x:v>
      </x:c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</x:row>
    <x:row r="6"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</x:row>
    <x:row r="8">
      <x:c r="B8" s="29" t="str">
        <x:v>Recipe</x:v>
      </x:c>
      <x:c r="C8" s="30" t="str">
        <x:v>치즈</x:v>
      </x:c>
      <x:c r="D8" s="30" t="str">
        <x:v>ver.</x:v>
      </x:c>
      <x:c r="E8" s="30" t="str">
        <x:v>β2.4</x:v>
      </x:c>
      <x:c r="F8" s="31"/>
      <x:c r="L8" s="85" t="str">
        <x:v>메모 / sticky note
• oven 실제편차 ±3℃ 추정
• 일부 사진은 다른 batch reference
• '부풀기' 측정 기준이 사람마다 약간 다름
• 색 진함/굵은 글씨 = 중요 표시</x:v>
      </x:c>
      <x:c r="M8" s="86"/>
      <x:c r="N8" s="86"/>
      <x:c r="O8" s="86"/>
      <x:c r="P8" s="87"/>
    </x:row>
    <x:row r="9">
      <x:c r="B9" s="32" t="str">
        <x:v>실험기간</x:v>
      </x:c>
      <x:c r="C9" s="33" t="str">
        <x:v>2026-08~09</x:v>
      </x:c>
      <x:c r="D9" s="33" t="str">
        <x:v>n</x:v>
      </x:c>
      <x:c r="E9" s="33" t="str">
        <x:v>3~5</x:v>
      </x:c>
      <x:c r="F9" s="34"/>
      <x:c r="L9" s="88"/>
      <x:c r="M9" s="89"/>
      <x:c r="N9" s="89"/>
      <x:c r="O9" s="89"/>
      <x:c r="P9" s="90"/>
    </x:row>
    <x:row r="10">
      <x:c r="B10" s="32" t="str">
        <x:v>주요변수</x:v>
      </x:c>
      <x:c r="C10" s="33" t="str">
        <x:v>oven/temp/add-in</x:v>
      </x:c>
      <x:c r="D10" s="33" t="str">
        <x:v>판정</x:v>
      </x:c>
      <x:c r="E10" s="33" t="str">
        <x:v>core temp + rise</x:v>
      </x:c>
      <x:c r="F10" s="34"/>
      <x:c r="L10" s="88"/>
      <x:c r="M10" s="89"/>
      <x:c r="N10" s="89"/>
      <x:c r="O10" s="89"/>
      <x:c r="P10" s="90"/>
    </x:row>
    <x:row r="11">
      <x:c r="B11" s="32" t="str">
        <x:v>기록상태</x:v>
      </x:c>
      <x:c r="C11" s="33" t="str">
        <x:v>수기+사진+수식</x:v>
      </x:c>
      <x:c r="D11" s="33" t="str">
        <x:v>memo</x:v>
      </x:c>
      <x:c r="E11" s="33" t="str">
        <x:v>영/한/기호 혼용</x:v>
      </x:c>
      <x:c r="F11" s="34"/>
      <x:c r="L11" s="88"/>
      <x:c r="M11" s="89"/>
      <x:c r="N11" s="89"/>
      <x:c r="O11" s="89"/>
      <x:c r="P11" s="90"/>
    </x:row>
    <x:row r="12">
      <x:c r="B12" s="32" t="str">
        <x:v>중요</x:v>
      </x:c>
      <x:c r="C12" s="33" t="str">
        <x:v>색상도 의미 있음</x:v>
      </x:c>
      <x:c r="D12" s="33" t="str">
        <x:v>주의</x:v>
      </x:c>
      <x:c r="E12" s="33" t="str">
        <x:v>일부 셀은 계산값</x:v>
      </x:c>
      <x:c r="F12" s="34"/>
      <x:c r="L12" s="88"/>
      <x:c r="M12" s="89"/>
      <x:c r="N12" s="89"/>
      <x:c r="O12" s="89"/>
      <x:c r="P12" s="90"/>
    </x:row>
    <x:row r="13">
      <x:c r="B13" s="35" t="str">
        <x:v>파일 메모</x:v>
      </x:c>
      <x:c r="C13" s="36" t="str">
        <x:v>형식 통일 안 함</x:v>
      </x:c>
      <x:c r="D13" s="36" t="str">
        <x:v>owner</x:v>
      </x:c>
      <x:c r="E13" s="36" t="str">
        <x:v>Kim</x:v>
      </x:c>
      <x:c r="F13" s="37"/>
      <x:c r="L13" s="88"/>
      <x:c r="M13" s="89"/>
      <x:c r="N13" s="89"/>
      <x:c r="O13" s="89"/>
      <x:c r="P13" s="90"/>
    </x:row>
    <x:row r="14">
      <x:c r="B14" s="58" t="str">
        <x:v>metric</x:v>
      </x:c>
      <x:c r="C14" s="59" t="n">
        <x:v>180</x:v>
      </x:c>
      <x:c r="D14" s="59" t="n">
        <x:v>190</x:v>
      </x:c>
      <x:c r="E14" s="59" t="n">
        <x:v>195</x:v>
      </x:c>
      <x:c r="F14" s="59" t="n">
        <x:v>200</x:v>
      </x:c>
      <x:c r="G14" s="60" t="n">
        <x:v>210</x:v>
      </x:c>
      <x:c r="L14" s="91"/>
      <x:c r="M14" s="92"/>
      <x:c r="N14" s="92"/>
      <x:c r="O14" s="92"/>
      <x:c r="P14" s="93"/>
    </x:row>
    <x:row r="15">
      <x:c r="B15" s="12" t="str">
        <x:v>core max(℃)</x:v>
      </x:c>
      <x:c r="C15" s="13" t="n">
        <x:v>92.9</x:v>
      </x:c>
      <x:c r="D15" s="13" t="n">
        <x:v>95</x:v>
      </x:c>
      <x:c r="E15" s="13" t="n">
        <x:v>95.6</x:v>
      </x:c>
      <x:c r="F15" s="13" t="n">
        <x:v>97</x:v>
      </x:c>
      <x:c r="G15" s="14" t="n">
        <x:v>98.5</x:v>
      </x:c>
    </x:row>
    <x:row r="16">
      <x:c r="B16" s="15" t="str">
        <x:v>rise mm</x:v>
      </x:c>
      <x:c r="C16" s="16" t="n">
        <x:v>10.3</x:v>
      </x:c>
      <x:c r="D16" s="16" t="n">
        <x:v>11.7</x:v>
      </x:c>
      <x:c r="E16" s="16" t="n">
        <x:v>12.4</x:v>
      </x:c>
      <x:c r="F16" s="16" t="n">
        <x:v>13</x:v>
      </x:c>
      <x:c r="G16" s="17" t="n">
        <x:v>14.6</x:v>
      </x:c>
    </x:row>
    <x:row r="17">
      <x:c r="B17" s="18" t="str">
        <x:v>crack%</x:v>
      </x:c>
      <x:c r="C17" s="19" t="n">
        <x:v>2</x:v>
      </x:c>
      <x:c r="D17" s="19" t="n">
        <x:v>5</x:v>
      </x:c>
      <x:c r="E17" s="19" t="n">
        <x:v>8.2</x:v>
      </x:c>
      <x:c r="F17" s="19" t="n">
        <x:v>11.7</x:v>
      </x:c>
      <x:c r="G17" s="20" t="n">
        <x:v>21.2</x:v>
      </x:c>
    </x:row>
  </x:sheetData>
  <x:mergeCells>
    <x:mergeCell ref="B5:M6"/>
    <x:mergeCell ref="L8:P14"/>
  </x:mergeCells>
  <x:pageMargins left="0.7" right="0.7" top="0.75" bottom="0.75" header="0.3" footer="0.3"/>
  <x:drawing xmlns:r="http://schemas.openxmlformats.org/officeDocument/2006/relationships" r:id="R05473f83414a4844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</x:cols>
  <x:sheetData>
    <x:row r="4">
      <x:c r="F4" s="116" t="str">
        <x:v>치즈 재료/원가 기록  COST??</x:v>
      </x:c>
      <x:c r="G4" s="116"/>
      <x:c r="H4" s="116"/>
      <x:c r="I4" s="116"/>
      <x:c r="J4" s="116"/>
      <x:c r="K4" s="116"/>
      <x:c r="L4" s="116"/>
      <x:c r="M4" s="116"/>
      <x:c r="N4" s="116"/>
    </x:row>
    <x:row r="5">
      <x:c r="F5" s="116"/>
      <x:c r="G5" s="116"/>
      <x:c r="H5" s="116"/>
      <x:c r="I5" s="116"/>
      <x:c r="J5" s="116"/>
      <x:c r="K5" s="116"/>
      <x:c r="L5" s="116"/>
      <x:c r="M5" s="116"/>
      <x:c r="N5" s="116"/>
    </x:row>
    <x:row r="6">
      <x:c r="F6" s="132" t="str">
        <x:v>품명</x:v>
      </x:c>
      <x:c r="G6" s="133" t="str">
        <x:v>ENG</x:v>
      </x:c>
      <x:c r="H6" s="133" t="str">
        <x:v>투입</x:v>
      </x:c>
      <x:c r="I6" s="133" t="str">
        <x:v>단위</x:v>
      </x:c>
      <x:c r="J6" s="133" t="str">
        <x:v>₩/unit</x:v>
      </x:c>
      <x:c r="K6" s="133" t="str">
        <x:v>cost/batch</x:v>
      </x:c>
      <x:c r="L6" s="133" t="str">
        <x:v>share%</x:v>
      </x:c>
      <x:c r="M6" s="133" t="str">
        <x:v>구매처</x:v>
      </x:c>
      <x:c r="N6" s="134" t="str">
        <x:v>비고</x:v>
      </x:c>
    </x:row>
    <x:row r="7">
      <x:c r="F7" s="12" t="str">
        <x:v>버터</x:v>
      </x:c>
      <x:c r="G7" s="13" t="str">
        <x:v>Butter</x:v>
      </x:c>
      <x:c r="H7" s="13" t="n">
        <x:v>0.115</x:v>
      </x:c>
      <x:c r="I7" s="13" t="str">
        <x:v>kg</x:v>
      </x:c>
      <x:c r="J7" s="13" t="n">
        <x:v>12800</x:v>
      </x:c>
      <x:c r="K7" s="13" t="n">
        <x:v>1472</x:v>
      </x:c>
      <x:c r="L7" s="13" t="n">
        <x:f>ROUND(K7/SUM($K$7:$K$14)*100,2)</x:f>
        <x:v>24.66</x:v>
      </x:c>
      <x:c r="M7" s="13" t="str">
        <x:v>ImportHub</x:v>
      </x:c>
      <x:c r="N7" s="14" t="str">
        <x:v>LOT주의</x:v>
      </x:c>
    </x:row>
    <x:row r="8">
      <x:c r="F8" s="15" t="str">
        <x:v>아몬드분말</x:v>
      </x:c>
      <x:c r="G8" s="16" t="str">
        <x:v>Almond pwd.</x:v>
      </x:c>
      <x:c r="H8" s="16" t="n">
        <x:v>0.09</x:v>
      </x:c>
      <x:c r="I8" s="16" t="str">
        <x:v>kg</x:v>
      </x:c>
      <x:c r="J8" s="16" t="n">
        <x:v>18500</x:v>
      </x:c>
      <x:c r="K8" s="75" t="n">
        <x:v>1665</x:v>
      </x:c>
      <x:c r="L8" s="75" t="n">
        <x:f>ROUND(K8/SUM($K$7:$K$14)*100,2)</x:f>
        <x:v>27.89</x:v>
      </x:c>
      <x:c r="M8" s="16" t="str">
        <x:v>ImportHub</x:v>
      </x:c>
      <x:c r="N8" s="17" t="str">
        <x:v>spec?</x:v>
      </x:c>
    </x:row>
    <x:row r="9">
      <x:c r="F9" s="15" t="str">
        <x:v>박력</x:v>
      </x:c>
      <x:c r="G9" s="16" t="str">
        <x:v>Cake flour</x:v>
      </x:c>
      <x:c r="H9" s="16" t="n">
        <x:v>32</x:v>
      </x:c>
      <x:c r="I9" s="16" t="str">
        <x:v>g</x:v>
      </x:c>
      <x:c r="J9" s="16" t="n">
        <x:v>2.5</x:v>
      </x:c>
      <x:c r="K9" s="75" t="n">
        <x:v>80</x:v>
      </x:c>
      <x:c r="L9" s="75" t="n">
        <x:f>ROUND(K9/SUM($K$7:$K$14)*100,2)</x:f>
        <x:v>1.34</x:v>
      </x:c>
      <x:c r="M9" s="16" t="str">
        <x:v>ImportHub</x:v>
      </x:c>
      <x:c r="N9" s="17" t="str">
        <x:v>냉장</x:v>
      </x:c>
    </x:row>
    <x:row r="10">
      <x:c r="F10" s="15" t="str">
        <x:v>분당</x:v>
      </x:c>
      <x:c r="G10" s="16" t="str">
        <x:v>Icing sugar</x:v>
      </x:c>
      <x:c r="H10" s="16" t="n">
        <x:v>102</x:v>
      </x:c>
      <x:c r="I10" s="16" t="str">
        <x:v>g</x:v>
      </x:c>
      <x:c r="J10" s="16" t="n">
        <x:v>4.8</x:v>
      </x:c>
      <x:c r="K10" s="75" t="n">
        <x:v>489.6</x:v>
      </x:c>
      <x:c r="L10" s="75" t="n">
        <x:f>ROUND(K10/SUM($K$7:$K$14)*100,2)</x:f>
        <x:v>8.2</x:v>
      </x:c>
      <x:c r="M10" s="16" t="str">
        <x:v>MKT-ING</x:v>
      </x:c>
      <x:c r="N10" s="17" t="str">
        <x:v>LOT주의</x:v>
      </x:c>
    </x:row>
    <x:row r="11">
      <x:c r="F11" s="15" t="str">
        <x:v>크림치즈</x:v>
      </x:c>
      <x:c r="G11" s="149" t="str">
        <x:v>Cream cheese</x:v>
      </x:c>
      <x:c r="H11" s="16" t="n">
        <x:v>55</x:v>
      </x:c>
      <x:c r="I11" s="16" t="str">
        <x:v>g</x:v>
      </x:c>
      <x:c r="J11" s="16" t="n">
        <x:v>22</x:v>
      </x:c>
      <x:c r="K11" s="16" t="n">
        <x:v>1210</x:v>
      </x:c>
      <x:c r="L11" s="16" t="n">
        <x:f>ROUND(K11/SUM($K$7:$K$14)*100,2)</x:f>
        <x:v>20.27</x:v>
      </x:c>
      <x:c r="M11" s="16" t="str">
        <x:v>ImportHub</x:v>
      </x:c>
      <x:c r="N11" s="17" t="str">
        <x:v>가격변동</x:v>
      </x:c>
    </x:row>
    <x:row r="12">
      <x:c r="F12" s="15" t="str">
        <x:v>파르미지아노</x:v>
      </x:c>
      <x:c r="G12" s="149" t="str">
        <x:v>Parmigiano</x:v>
      </x:c>
      <x:c r="H12" s="16" t="n">
        <x:v>12</x:v>
      </x:c>
      <x:c r="I12" s="16" t="str">
        <x:v>g</x:v>
      </x:c>
      <x:c r="J12" s="16" t="n">
        <x:v>29</x:v>
      </x:c>
      <x:c r="K12" s="16" t="n">
        <x:v>348</x:v>
      </x:c>
      <x:c r="L12" s="16" t="n">
        <x:f>ROUND(K12/SUM($K$7:$K$14)*100,2)</x:f>
        <x:v>5.83</x:v>
      </x:c>
      <x:c r="M12" s="16" t="str">
        <x:v>ImportHub</x:v>
      </x:c>
      <x:c r="N12" s="17" t="str">
        <x:v>spec?</x:v>
      </x:c>
    </x:row>
    <x:row r="13">
      <x:c r="F13" s="15" t="str">
        <x:v>흰자</x:v>
      </x:c>
      <x:c r="G13" s="16" t="str">
        <x:v>Egg whites</x:v>
      </x:c>
      <x:c r="H13" s="16" t="n">
        <x:v>128</x:v>
      </x:c>
      <x:c r="I13" s="16" t="str">
        <x:v>g</x:v>
      </x:c>
      <x:c r="J13" s="16" t="n">
        <x:v>5.5</x:v>
      </x:c>
      <x:c r="K13" s="16" t="n">
        <x:v>704</x:v>
      </x:c>
      <x:c r="L13" s="16" t="n">
        <x:f>ROUND(K13/SUM($K$7:$K$14)*100,2)</x:f>
        <x:v>11.79</x:v>
      </x:c>
      <x:c r="M13" s="16" t="str">
        <x:v>미기입</x:v>
      </x:c>
      <x:c r="N13" s="17" t="str">
        <x:v>가격변동</x:v>
      </x:c>
    </x:row>
    <x:row r="14">
      <x:c r="F14" s="18" t="str">
        <x:v>NaCl</x:v>
      </x:c>
      <x:c r="G14" s="19" t="str">
        <x:v>소금</x:v>
      </x:c>
      <x:c r="H14" s="19" t="n">
        <x:v>1.5</x:v>
      </x:c>
      <x:c r="I14" s="19" t="str">
        <x:v>g</x:v>
      </x:c>
      <x:c r="J14" s="19" t="n">
        <x:v>1.1</x:v>
      </x:c>
      <x:c r="K14" s="19" t="n">
        <x:v>1.7</x:v>
      </x:c>
      <x:c r="L14" s="19" t="n">
        <x:f>ROUND(K14/SUM($K$7:$K$14)*100,2)</x:f>
        <x:v>0.03</x:v>
      </x:c>
      <x:c r="M14" s="19" t="str">
        <x:v>MKT-ING</x:v>
      </x:c>
      <x:c r="N14" s="20" t="str"/>
    </x:row>
    <x:row r="17">
      <x:c r="K17" s="12" t="str">
        <x:v>Batch total</x:v>
      </x:c>
      <x:c r="L17" s="14" t="n">
        <x:f>SUM(K7:K14)</x:f>
        <x:v>5970.3</x:v>
      </x:c>
    </x:row>
    <x:row r="18">
      <x:c r="K18" s="15" t="str">
        <x:v>ea cost /12</x:v>
      </x:c>
      <x:c r="L18" s="17" t="n">
        <x:f>ROUND((L17+L19)/12,1)</x:f>
        <x:v>512.5</x:v>
      </x:c>
    </x:row>
    <x:row r="19">
      <x:c r="K19" s="15" t="str">
        <x:v>package</x:v>
      </x:c>
      <x:c r="L19" s="17" t="n">
        <x:v>180</x:v>
      </x:c>
    </x:row>
    <x:row r="20">
      <x:c r="K20" s="18" t="str">
        <x:v>판매가 rough</x:v>
      </x:c>
      <x:c r="L20" s="20" t="n">
        <x:f>ROUND(L18*2.6,-1)</x:f>
        <x:v>1330</x:v>
      </x:c>
    </x:row>
  </x:sheetData>
  <x:mergeCells>
    <x:mergeCell ref="F4:N5"/>
  </x:mergeCells>
  <x:pageMargins left="0.7" right="0.7" top="0.75" bottom="0.75" header="0.3" footer="0.3"/>
  <x:drawing xmlns:r="http://schemas.openxmlformats.org/officeDocument/2006/relationships" r:id="R7e2171f03de54e52"/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</x:cols>
  <x:sheetData>
    <x:row r="1">
      <x:c r="A1" s="33"/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</x:row>
    <x:row r="3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>
      <x:c r="A4" s="33"/>
      <x:c r="B4" s="171" t="str">
        <x:v>치즈 / 180℃ 굽기 TEST</x:v>
      </x:c>
      <x:c r="C4" s="172"/>
      <x:c r="D4" s="172"/>
      <x:c r="E4" s="172"/>
      <x:c r="F4" s="172"/>
      <x:c r="G4" s="172"/>
      <x:c r="H4" s="172"/>
      <x:c r="I4" s="172"/>
      <x:c r="J4" s="172"/>
      <x:c r="K4" s="172"/>
      <x:c r="L4" s="173"/>
      <x:c r="M4" s="33"/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>
      <x:c r="A5" s="33"/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6"/>
      <x:c r="M5" s="33"/>
      <x:c r="N5" s="33"/>
      <x:c r="O5" s="33"/>
      <x:c r="P5" s="33"/>
      <x:c r="Q5" s="33"/>
      <x:c r="R5" s="33"/>
      <x:c r="S5" s="33"/>
      <x:c r="T5" s="33"/>
      <x:c r="U5" s="33"/>
      <x:c r="V5" s="33"/>
      <x:c r="W5" s="33"/>
      <x:c r="X5" s="33"/>
      <x:c r="Y5" s="33"/>
      <x:c r="Z5" s="33"/>
    </x:row>
    <x:row r="6">
      <x:c r="A6" s="33"/>
      <x:c r="B6" s="33"/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  <x:c r="W6" s="33"/>
      <x:c r="X6" s="33"/>
      <x:c r="Y6" s="33"/>
      <x:c r="Z6" s="33"/>
    </x:row>
    <x:row r="7">
      <x:c r="A7" s="33"/>
      <x:c r="B7" s="33"/>
      <x:c r="C7" s="33"/>
      <x:c r="D7" s="33"/>
      <x:c r="E7" s="33"/>
      <x:c r="F7" s="33"/>
      <x:c r="G7" s="33"/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>
      <x:c r="A8" s="33"/>
      <x:c r="B8" s="58" t="str">
        <x:v>metric</x:v>
      </x:c>
      <x:c r="C8" s="59" t="n">
        <x:v>0</x:v>
      </x:c>
      <x:c r="D8" s="59" t="n">
        <x:v>3</x:v>
      </x:c>
      <x:c r="E8" s="59" t="n">
        <x:v>6</x:v>
      </x:c>
      <x:c r="F8" s="59" t="n">
        <x:v>9</x:v>
      </x:c>
      <x:c r="G8" s="59" t="n">
        <x:v>12</x:v>
      </x:c>
      <x:c r="H8" s="59" t="n">
        <x:v>15</x:v>
      </x:c>
      <x:c r="I8" s="59" t="n">
        <x:v>18</x:v>
      </x:c>
      <x:c r="J8" s="60" t="n">
        <x:v>21</x:v>
      </x:c>
      <x:c r="K8" s="33"/>
      <x:c r="L8" s="33"/>
      <x:c r="M8" s="33"/>
      <x:c r="N8" s="85" t="str">
        <x:v>NOTE
시간이 열 방향으로 진행
표 중간에 빈 열 존재
같은 파일 내 다른 온도 시트와도 다를 수 있음</x:v>
      </x:c>
      <x:c r="O8" s="86"/>
      <x:c r="P8" s="86"/>
      <x:c r="Q8" s="86"/>
      <x:c r="R8" s="87"/>
      <x:c r="S8" s="33"/>
      <x:c r="T8" s="33"/>
      <x:c r="U8" s="33"/>
      <x:c r="V8" s="33"/>
      <x:c r="W8" s="33"/>
      <x:c r="X8" s="33"/>
      <x:c r="Y8" s="33"/>
      <x:c r="Z8" s="33"/>
    </x:row>
    <x:row r="9">
      <x:c r="A9" s="33"/>
      <x:c r="B9" s="29" t="str">
        <x:v>plain</x:v>
      </x:c>
      <x:c r="C9" s="30" t="n">
        <x:v>25.4</x:v>
      </x:c>
      <x:c r="D9" s="30" t="n">
        <x:v>35.6</x:v>
      </x:c>
      <x:c r="E9" s="30" t="n">
        <x:v>46.3</x:v>
      </x:c>
      <x:c r="F9" s="30" t="n">
        <x:v>56.5</x:v>
      </x:c>
      <x:c r="G9" s="30" t="n">
        <x:v>67.6</x:v>
      </x:c>
      <x:c r="H9" s="30" t="n">
        <x:v>78.5</x:v>
      </x:c>
      <x:c r="I9" s="30" t="n">
        <x:v>89.6</x:v>
      </x:c>
      <x:c r="J9" s="30" t="n">
        <x:v>99.4</x:v>
      </x:c>
      <x:c r="K9" s="30" t="str">
        <x:v>core T</x:v>
      </x:c>
      <x:c r="L9" s="31" t="str">
        <x:v>°C</x:v>
      </x:c>
      <x:c r="M9" s="33"/>
      <x:c r="N9" s="88"/>
      <x:c r="O9" s="89"/>
      <x:c r="P9" s="89"/>
      <x:c r="Q9" s="89"/>
      <x:c r="R9" s="90"/>
      <x:c r="S9" s="33"/>
      <x:c r="T9" s="33"/>
      <x:c r="U9" s="33"/>
      <x:c r="V9" s="33"/>
      <x:c r="W9" s="33"/>
      <x:c r="X9" s="33"/>
      <x:c r="Y9" s="33"/>
      <x:c r="Z9" s="33"/>
    </x:row>
    <x:row r="10">
      <x:c r="A10" s="33"/>
      <x:c r="B10" s="32"/>
      <x:c r="C10" s="33" t="n">
        <x:v>1.6</x:v>
      </x:c>
      <x:c r="D10" s="33" t="n">
        <x:v>2.5</x:v>
      </x:c>
      <x:c r="E10" s="33" t="n">
        <x:v>4.2</x:v>
      </x:c>
      <x:c r="F10" s="33" t="n">
        <x:v>5.2</x:v>
      </x:c>
      <x:c r="G10" s="33" t="n">
        <x:v>7</x:v>
      </x:c>
      <x:c r="H10" s="33" t="n">
        <x:v>8.2</x:v>
      </x:c>
      <x:c r="I10" s="33" t="n">
        <x:v>9.8</x:v>
      </x:c>
      <x:c r="J10" s="33" t="n">
        <x:v>10.7</x:v>
      </x:c>
      <x:c r="K10" s="33" t="str">
        <x:v>rise</x:v>
      </x:c>
      <x:c r="L10" s="34" t="str">
        <x:v>mm</x:v>
      </x:c>
      <x:c r="M10" s="33"/>
      <x:c r="N10" s="88"/>
      <x:c r="O10" s="89"/>
      <x:c r="P10" s="89"/>
      <x:c r="Q10" s="89"/>
      <x:c r="R10" s="90"/>
      <x:c r="S10" s="33"/>
      <x:c r="T10" s="33"/>
      <x:c r="U10" s="33"/>
      <x:c r="V10" s="33"/>
      <x:c r="W10" s="33"/>
      <x:c r="X10" s="33"/>
      <x:c r="Y10" s="33"/>
      <x:c r="Z10" s="33"/>
    </x:row>
    <x:row r="11">
      <x:c r="A11" s="33"/>
      <x:c r="B11" s="35"/>
      <x:c r="C11" s="36" t="n">
        <x:v>0</x:v>
      </x:c>
      <x:c r="D11" s="36" t="n">
        <x:v>1.4</x:v>
      </x:c>
      <x:c r="E11" s="36" t="n">
        <x:v>3</x:v>
      </x:c>
      <x:c r="F11" s="36" t="n">
        <x:v>4.8</x:v>
      </x:c>
      <x:c r="G11" s="36" t="n">
        <x:v>6.5</x:v>
      </x:c>
      <x:c r="H11" s="36" t="n">
        <x:v>7.6</x:v>
      </x:c>
      <x:c r="I11" s="36" t="n">
        <x:v>9.3</x:v>
      </x:c>
      <x:c r="J11" s="36" t="n">
        <x:v>10.9</x:v>
      </x:c>
      <x:c r="K11" s="36" t="str">
        <x:v>loss</x:v>
      </x:c>
      <x:c r="L11" s="37" t="str">
        <x:v>%</x:v>
      </x:c>
      <x:c r="M11" s="33"/>
      <x:c r="N11" s="88"/>
      <x:c r="O11" s="89"/>
      <x:c r="P11" s="89"/>
      <x:c r="Q11" s="89"/>
      <x:c r="R11" s="90"/>
      <x:c r="S11" s="33"/>
      <x:c r="T11" s="33"/>
      <x:c r="U11" s="33"/>
      <x:c r="V11" s="33"/>
      <x:c r="W11" s="33"/>
      <x:c r="X11" s="33"/>
      <x:c r="Y11" s="33"/>
      <x:c r="Z11" s="33"/>
    </x:row>
    <x:row r="12">
      <x:c r="A12" s="33"/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  <x:c r="N12" s="88"/>
      <x:c r="O12" s="89"/>
      <x:c r="P12" s="89"/>
      <x:c r="Q12" s="89"/>
      <x:c r="R12" s="90"/>
      <x:c r="S12" s="33"/>
      <x:c r="T12" s="33"/>
      <x:c r="U12" s="33"/>
      <x:c r="V12" s="33"/>
      <x:c r="W12" s="33"/>
      <x:c r="X12" s="33"/>
      <x:c r="Y12" s="33"/>
      <x:c r="Z12" s="33"/>
    </x:row>
    <x:row r="13">
      <x:c r="A13" s="33"/>
      <x:c r="B13" s="29" t="str">
        <x:v>RUM</x:v>
      </x:c>
      <x:c r="C13" s="30" t="n">
        <x:v>25.7</x:v>
      </x:c>
      <x:c r="D13" s="30" t="n">
        <x:v>35.8</x:v>
      </x:c>
      <x:c r="E13" s="30" t="n">
        <x:v>47.2</x:v>
      </x:c>
      <x:c r="F13" s="30" t="n">
        <x:v>58.3</x:v>
      </x:c>
      <x:c r="G13" s="30" t="n">
        <x:v>68.1</x:v>
      </x:c>
      <x:c r="H13" s="30" t="n">
        <x:v>78.5</x:v>
      </x:c>
      <x:c r="I13" s="30" t="n">
        <x:v>89.1</x:v>
      </x:c>
      <x:c r="J13" s="30" t="n">
        <x:v>99.4</x:v>
      </x:c>
      <x:c r="K13" s="30" t="str">
        <x:v>core T</x:v>
      </x:c>
      <x:c r="L13" s="31" t="str">
        <x:v>°C</x:v>
      </x:c>
      <x:c r="M13" s="33"/>
      <x:c r="N13" s="91"/>
      <x:c r="O13" s="92"/>
      <x:c r="P13" s="92"/>
      <x:c r="Q13" s="92"/>
      <x:c r="R13" s="93"/>
      <x:c r="S13" s="33"/>
      <x:c r="T13" s="33"/>
      <x:c r="U13" s="33"/>
      <x:c r="V13" s="33"/>
      <x:c r="W13" s="33"/>
      <x:c r="X13" s="33"/>
      <x:c r="Y13" s="33"/>
      <x:c r="Z13" s="33"/>
    </x:row>
    <x:row r="14">
      <x:c r="A14" s="33"/>
      <x:c r="B14" s="32"/>
      <x:c r="C14" s="33" t="n">
        <x:v>1.6</x:v>
      </x:c>
      <x:c r="D14" s="33" t="n">
        <x:v>3.5</x:v>
      </x:c>
      <x:c r="E14" s="33" t="n">
        <x:v>4.6</x:v>
      </x:c>
      <x:c r="F14" s="33" t="n">
        <x:v>5.8</x:v>
      </x:c>
      <x:c r="G14" s="33" t="n">
        <x:v>7.5</x:v>
      </x:c>
      <x:c r="H14" s="33" t="n">
        <x:v>8.9</x:v>
      </x:c>
      <x:c r="I14" s="33" t="n">
        <x:v>9.8</x:v>
      </x:c>
      <x:c r="J14" s="33" t="n">
        <x:v>11.3</x:v>
      </x:c>
      <x:c r="K14" s="33" t="str">
        <x:v>rise</x:v>
      </x:c>
      <x:c r="L14" s="34" t="str">
        <x:v>mm</x:v>
      </x:c>
      <x:c r="M14" s="33"/>
      <x:c r="N14" s="33"/>
      <x:c r="O14" s="33"/>
      <x:c r="P14" s="33"/>
      <x:c r="Q14" s="33"/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>
      <x:c r="A15" s="33"/>
      <x:c r="B15" s="35"/>
      <x:c r="C15" s="36" t="n">
        <x:v>0</x:v>
      </x:c>
      <x:c r="D15" s="36" t="n">
        <x:v>1.9</x:v>
      </x:c>
      <x:c r="E15" s="36" t="n">
        <x:v>3.4</x:v>
      </x:c>
      <x:c r="F15" s="36" t="n">
        <x:v>4.6</x:v>
      </x:c>
      <x:c r="G15" s="36" t="n">
        <x:v>6.5</x:v>
      </x:c>
      <x:c r="H15" s="36" t="n">
        <x:v>8.2</x:v>
      </x:c>
      <x:c r="I15" s="36" t="n">
        <x:v>9.2</x:v>
      </x:c>
      <x:c r="J15" s="36" t="n">
        <x:v>10.7</x:v>
      </x:c>
      <x:c r="K15" s="36" t="str">
        <x:v>loss</x:v>
      </x:c>
      <x:c r="L15" s="37" t="str">
        <x:v>%</x:v>
      </x:c>
      <x:c r="M15" s="33"/>
      <x:c r="N15" s="33"/>
      <x:c r="O15" s="33"/>
      <x:c r="P15" s="33"/>
      <x:c r="Q15" s="33"/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>
      <x:c r="A17" s="33"/>
      <x:c r="B17" s="29" t="str">
        <x:v>sugar glaze</x:v>
      </x:c>
      <x:c r="C17" s="30" t="n">
        <x:v>26.2</x:v>
      </x:c>
      <x:c r="D17" s="30" t="n">
        <x:v>36.7</x:v>
      </x:c>
      <x:c r="E17" s="30" t="n">
        <x:v>47.8</x:v>
      </x:c>
      <x:c r="F17" s="30" t="n">
        <x:v>57.9</x:v>
      </x:c>
      <x:c r="G17" s="30" t="n">
        <x:v>69.7</x:v>
      </x:c>
      <x:c r="H17" s="30" t="n">
        <x:v>80.1</x:v>
      </x:c>
      <x:c r="I17" s="30" t="n">
        <x:v>90.7</x:v>
      </x:c>
      <x:c r="J17" s="30" t="n">
        <x:v>99.4</x:v>
      </x:c>
      <x:c r="K17" s="30" t="str">
        <x:v>core T</x:v>
      </x:c>
      <x:c r="L17" s="31" t="str">
        <x:v>°C</x:v>
      </x:c>
      <x:c r="M17" s="33"/>
      <x:c r="N17" s="33"/>
      <x:c r="O17" s="33"/>
      <x:c r="P17" s="33"/>
      <x:c r="Q17" s="33"/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>
      <x:c r="A18" s="33"/>
      <x:c r="B18" s="32"/>
      <x:c r="C18" s="33" t="n">
        <x:v>2</x:v>
      </x:c>
      <x:c r="D18" s="33" t="n">
        <x:v>3.6</x:v>
      </x:c>
      <x:c r="E18" s="33" t="n">
        <x:v>5.1</x:v>
      </x:c>
      <x:c r="F18" s="33" t="n">
        <x:v>6.3</x:v>
      </x:c>
      <x:c r="G18" s="33" t="n">
        <x:v>7.9</x:v>
      </x:c>
      <x:c r="H18" s="33" t="n">
        <x:v>9.3</x:v>
      </x:c>
      <x:c r="I18" s="33" t="n">
        <x:v>10.3</x:v>
      </x:c>
      <x:c r="J18" s="33" t="n">
        <x:v>11.6</x:v>
      </x:c>
      <x:c r="K18" s="33" t="str">
        <x:v>rise</x:v>
      </x:c>
      <x:c r="L18" s="34" t="str">
        <x:v>mm</x:v>
      </x:c>
      <x:c r="M18" s="33"/>
      <x:c r="N18" s="33"/>
      <x:c r="O18" s="33"/>
      <x:c r="P18" s="33"/>
      <x:c r="Q18" s="33"/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>
      <x:c r="A19" s="33"/>
      <x:c r="B19" s="35"/>
      <x:c r="C19" s="36" t="n">
        <x:v>0</x:v>
      </x:c>
      <x:c r="D19" s="36" t="n">
        <x:v>1.9</x:v>
      </x:c>
      <x:c r="E19" s="36" t="n">
        <x:v>3.5</x:v>
      </x:c>
      <x:c r="F19" s="36" t="n">
        <x:v>4.4</x:v>
      </x:c>
      <x:c r="G19" s="36" t="n">
        <x:v>6.6</x:v>
      </x:c>
      <x:c r="H19" s="36" t="n">
        <x:v>8</x:v>
      </x:c>
      <x:c r="I19" s="36" t="n">
        <x:v>9.5</x:v>
      </x:c>
      <x:c r="J19" s="36" t="n">
        <x:v>10.7</x:v>
      </x:c>
      <x:c r="K19" s="36" t="str">
        <x:v>loss</x:v>
      </x:c>
      <x:c r="L19" s="37" t="str">
        <x:v>%</x:v>
      </x:c>
      <x:c r="M19" s="33"/>
      <x:c r="N19" s="33"/>
      <x:c r="O19" s="33"/>
      <x:c r="P19" s="33"/>
      <x:c r="Q19" s="33"/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>
      <x:c r="A21" s="33"/>
      <x:c r="B21" s="29" t="str">
        <x:v>cheese top</x:v>
      </x:c>
      <x:c r="C21" s="30" t="n">
        <x:v>27.6</x:v>
      </x:c>
      <x:c r="D21" s="30" t="n">
        <x:v>38.2</x:v>
      </x:c>
      <x:c r="E21" s="30" t="n">
        <x:v>48.1</x:v>
      </x:c>
      <x:c r="F21" s="30" t="n">
        <x:v>59.7</x:v>
      </x:c>
      <x:c r="G21" s="30" t="n">
        <x:v>70.3</x:v>
      </x:c>
      <x:c r="H21" s="30" t="n">
        <x:v>80.7</x:v>
      </x:c>
      <x:c r="I21" s="30" t="n">
        <x:v>90.4</x:v>
      </x:c>
      <x:c r="J21" s="30" t="n">
        <x:v>99.4</x:v>
      </x:c>
      <x:c r="K21" s="30" t="str">
        <x:v>core T</x:v>
      </x:c>
      <x:c r="L21" s="31" t="str">
        <x:v>°C</x:v>
      </x:c>
      <x:c r="M21" s="33"/>
      <x:c r="N21" s="33"/>
      <x:c r="O21" s="33"/>
      <x:c r="P21" s="33"/>
      <x:c r="Q21" s="33"/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>
      <x:c r="A22" s="33"/>
      <x:c r="B22" s="32"/>
      <x:c r="C22" s="33" t="n">
        <x:v>2.3</x:v>
      </x:c>
      <x:c r="D22" s="33" t="n">
        <x:v>4.1</x:v>
      </x:c>
      <x:c r="E22" s="33" t="n">
        <x:v>5.2</x:v>
      </x:c>
      <x:c r="F22" s="33" t="n">
        <x:v>6.7</x:v>
      </x:c>
      <x:c r="G22" s="33" t="n">
        <x:v>8</x:v>
      </x:c>
      <x:c r="H22" s="33" t="n">
        <x:v>9.2</x:v>
      </x:c>
      <x:c r="I22" s="33" t="n">
        <x:v>10.5</x:v>
      </x:c>
      <x:c r="J22" s="33" t="n">
        <x:v>12.1</x:v>
      </x:c>
      <x:c r="K22" s="33" t="str">
        <x:v>rise</x:v>
      </x:c>
      <x:c r="L22" s="34" t="str">
        <x:v>mm</x:v>
      </x:c>
      <x:c r="M22" s="33"/>
      <x:c r="N22" s="33"/>
      <x:c r="O22" s="33"/>
      <x:c r="P22" s="33"/>
      <x:c r="Q22" s="33"/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>
      <x:c r="A23" s="33"/>
      <x:c r="B23" s="35"/>
      <x:c r="C23" s="36" t="n">
        <x:v>0</x:v>
      </x:c>
      <x:c r="D23" s="36" t="n">
        <x:v>1.6</x:v>
      </x:c>
      <x:c r="E23" s="36" t="n">
        <x:v>3.3</x:v>
      </x:c>
      <x:c r="F23" s="36" t="n">
        <x:v>4.8</x:v>
      </x:c>
      <x:c r="G23" s="36" t="n">
        <x:v>6.2</x:v>
      </x:c>
      <x:c r="H23" s="36" t="n">
        <x:v>7.9</x:v>
      </x:c>
      <x:c r="I23" s="36" t="n">
        <x:v>9.2</x:v>
      </x:c>
      <x:c r="J23" s="36" t="n">
        <x:v>11.3</x:v>
      </x:c>
      <x:c r="K23" s="36" t="str">
        <x:v>loss</x:v>
      </x:c>
      <x:c r="L23" s="37" t="str">
        <x:v>%</x:v>
      </x:c>
      <x:c r="M23" s="33"/>
      <x:c r="N23" s="33"/>
      <x:c r="O23" s="33"/>
      <x:c r="P23" s="33"/>
      <x:c r="Q23" s="33"/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</x:sheetData>
  <x:mergeCells>
    <x:mergeCell ref="B4:L5"/>
    <x:mergeCell ref="B9:B11"/>
    <x:mergeCell ref="B13:B15"/>
    <x:mergeCell ref="B17:B19"/>
    <x:mergeCell ref="B21:B23"/>
    <x:mergeCell ref="N8:R13"/>
  </x:mergeCells>
  <x:pageMargins left="0.7" right="0.7" top="0.75" bottom="0.75" header="0.3" footer="0.3"/>
  <x:drawing xmlns:r="http://schemas.openxmlformats.org/officeDocument/2006/relationships" r:id="R0b97e391f1e84c36"/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</x:cols>
  <x:sheetData>
    <x:row r="1">
      <x:c r="A1" s="33"/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</x:row>
    <x:row r="3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>
      <x:c r="A4" s="33"/>
      <x:c r="B4" s="171" t="str">
        <x:v>치즈 / 190℃ 굽기 TEST</x:v>
      </x:c>
      <x:c r="C4" s="172"/>
      <x:c r="D4" s="172"/>
      <x:c r="E4" s="172"/>
      <x:c r="F4" s="172"/>
      <x:c r="G4" s="172"/>
      <x:c r="H4" s="172"/>
      <x:c r="I4" s="172"/>
      <x:c r="J4" s="172"/>
      <x:c r="K4" s="172"/>
      <x:c r="L4" s="173"/>
      <x:c r="M4" s="33"/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>
      <x:c r="A5" s="33"/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6"/>
      <x:c r="M5" s="33"/>
      <x:c r="N5" s="33"/>
      <x:c r="O5" s="33"/>
      <x:c r="P5" s="33"/>
      <x:c r="Q5" s="33"/>
      <x:c r="R5" s="33"/>
      <x:c r="S5" s="33"/>
      <x:c r="T5" s="33"/>
      <x:c r="U5" s="33"/>
      <x:c r="V5" s="33"/>
      <x:c r="W5" s="33"/>
      <x:c r="X5" s="33"/>
      <x:c r="Y5" s="33"/>
      <x:c r="Z5" s="33"/>
    </x:row>
    <x:row r="6">
      <x:c r="A6" s="33"/>
      <x:c r="B6" s="33"/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  <x:c r="W6" s="33"/>
      <x:c r="X6" s="33"/>
      <x:c r="Y6" s="33"/>
      <x:c r="Z6" s="33"/>
    </x:row>
    <x:row r="7">
      <x:c r="A7" s="33"/>
      <x:c r="B7" s="33"/>
      <x:c r="C7" s="33"/>
      <x:c r="D7" s="33"/>
      <x:c r="E7" s="33"/>
      <x:c r="F7" s="33"/>
      <x:c r="G7" s="33"/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>
      <x:c r="A8" s="33"/>
      <x:c r="B8" s="58" t="str">
        <x:v>metric</x:v>
      </x:c>
      <x:c r="C8" s="59" t="n">
        <x:v>0</x:v>
      </x:c>
      <x:c r="D8" s="59" t="n">
        <x:v>3</x:v>
      </x:c>
      <x:c r="E8" s="59" t="n">
        <x:v>6</x:v>
      </x:c>
      <x:c r="F8" s="59" t="n">
        <x:v>9</x:v>
      </x:c>
      <x:c r="G8" s="59" t="n">
        <x:v>12</x:v>
      </x:c>
      <x:c r="H8" s="59" t="n">
        <x:v>15</x:v>
      </x:c>
      <x:c r="I8" s="59" t="n">
        <x:v>18</x:v>
      </x:c>
      <x:c r="J8" s="60" t="n">
        <x:v>21</x:v>
      </x:c>
      <x:c r="K8" s="33"/>
      <x:c r="L8" s="33"/>
      <x:c r="M8" s="33"/>
      <x:c r="N8" s="85" t="str">
        <x:v>NOTE
시간이 열 방향으로 진행
표 중간에 빈 열 존재
같은 파일 내 다른 온도 시트와도 다를 수 있음</x:v>
      </x:c>
      <x:c r="O8" s="86"/>
      <x:c r="P8" s="86"/>
      <x:c r="Q8" s="86"/>
      <x:c r="R8" s="87"/>
      <x:c r="S8" s="33"/>
      <x:c r="T8" s="33"/>
      <x:c r="U8" s="33"/>
      <x:c r="V8" s="33"/>
      <x:c r="W8" s="33"/>
      <x:c r="X8" s="33"/>
      <x:c r="Y8" s="33"/>
      <x:c r="Z8" s="33"/>
    </x:row>
    <x:row r="9">
      <x:c r="A9" s="33"/>
      <x:c r="B9" s="29" t="str">
        <x:v>plain</x:v>
      </x:c>
      <x:c r="C9" s="30" t="n">
        <x:v>26.7</x:v>
      </x:c>
      <x:c r="D9" s="30" t="n">
        <x:v>38.4</x:v>
      </x:c>
      <x:c r="E9" s="30" t="n">
        <x:v>49.1</x:v>
      </x:c>
      <x:c r="F9" s="30" t="n">
        <x:v>59</x:v>
      </x:c>
      <x:c r="G9" s="30" t="n">
        <x:v>70.5</x:v>
      </x:c>
      <x:c r="H9" s="30" t="n">
        <x:v>81.2</x:v>
      </x:c>
      <x:c r="I9" s="30" t="n">
        <x:v>91.5</x:v>
      </x:c>
      <x:c r="J9" s="30" t="n">
        <x:v>99.4</x:v>
      </x:c>
      <x:c r="K9" s="30" t="str">
        <x:v>core T</x:v>
      </x:c>
      <x:c r="L9" s="31" t="str">
        <x:v>°C</x:v>
      </x:c>
      <x:c r="M9" s="33"/>
      <x:c r="N9" s="88"/>
      <x:c r="O9" s="89"/>
      <x:c r="P9" s="89"/>
      <x:c r="Q9" s="89"/>
      <x:c r="R9" s="90"/>
      <x:c r="S9" s="33"/>
      <x:c r="T9" s="33"/>
      <x:c r="U9" s="33"/>
      <x:c r="V9" s="33"/>
      <x:c r="W9" s="33"/>
      <x:c r="X9" s="33"/>
      <x:c r="Y9" s="33"/>
      <x:c r="Z9" s="33"/>
    </x:row>
    <x:row r="10">
      <x:c r="A10" s="33"/>
      <x:c r="B10" s="32"/>
      <x:c r="C10" s="33" t="n">
        <x:v>2</x:v>
      </x:c>
      <x:c r="D10" s="33" t="n">
        <x:v>3.1</x:v>
      </x:c>
      <x:c r="E10" s="33" t="n">
        <x:v>4.5</x:v>
      </x:c>
      <x:c r="F10" s="33" t="n">
        <x:v>5.9</x:v>
      </x:c>
      <x:c r="G10" s="33" t="n">
        <x:v>7.4</x:v>
      </x:c>
      <x:c r="H10" s="33" t="n">
        <x:v>8.7</x:v>
      </x:c>
      <x:c r="I10" s="33" t="n">
        <x:v>10.4</x:v>
      </x:c>
      <x:c r="J10" s="33" t="n">
        <x:v>11.5</x:v>
      </x:c>
      <x:c r="K10" s="33" t="str">
        <x:v>rise</x:v>
      </x:c>
      <x:c r="L10" s="34" t="str">
        <x:v>mm</x:v>
      </x:c>
      <x:c r="M10" s="33"/>
      <x:c r="N10" s="88"/>
      <x:c r="O10" s="89"/>
      <x:c r="P10" s="89"/>
      <x:c r="Q10" s="89"/>
      <x:c r="R10" s="90"/>
      <x:c r="S10" s="33"/>
      <x:c r="T10" s="33"/>
      <x:c r="U10" s="33"/>
      <x:c r="V10" s="33"/>
      <x:c r="W10" s="33"/>
      <x:c r="X10" s="33"/>
      <x:c r="Y10" s="33"/>
      <x:c r="Z10" s="33"/>
    </x:row>
    <x:row r="11">
      <x:c r="A11" s="33"/>
      <x:c r="B11" s="35"/>
      <x:c r="C11" s="36" t="n">
        <x:v>0.7</x:v>
      </x:c>
      <x:c r="D11" s="36" t="n">
        <x:v>2.1</x:v>
      </x:c>
      <x:c r="E11" s="36" t="n">
        <x:v>3.5</x:v>
      </x:c>
      <x:c r="F11" s="36" t="n">
        <x:v>5.2</x:v>
      </x:c>
      <x:c r="G11" s="36" t="n">
        <x:v>6.6</x:v>
      </x:c>
      <x:c r="H11" s="36" t="n">
        <x:v>8.1</x:v>
      </x:c>
      <x:c r="I11" s="36" t="n">
        <x:v>9.9</x:v>
      </x:c>
      <x:c r="J11" s="36" t="n">
        <x:v>11.6</x:v>
      </x:c>
      <x:c r="K11" s="36" t="str">
        <x:v>loss</x:v>
      </x:c>
      <x:c r="L11" s="37" t="str">
        <x:v>%</x:v>
      </x:c>
      <x:c r="M11" s="33"/>
      <x:c r="N11" s="88"/>
      <x:c r="O11" s="89"/>
      <x:c r="P11" s="89"/>
      <x:c r="Q11" s="89"/>
      <x:c r="R11" s="90"/>
      <x:c r="S11" s="33"/>
      <x:c r="T11" s="33"/>
      <x:c r="U11" s="33"/>
      <x:c r="V11" s="33"/>
      <x:c r="W11" s="33"/>
      <x:c r="X11" s="33"/>
      <x:c r="Y11" s="33"/>
      <x:c r="Z11" s="33"/>
    </x:row>
    <x:row r="12">
      <x:c r="A12" s="33"/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  <x:c r="N12" s="88"/>
      <x:c r="O12" s="89"/>
      <x:c r="P12" s="89"/>
      <x:c r="Q12" s="89"/>
      <x:c r="R12" s="90"/>
      <x:c r="S12" s="33"/>
      <x:c r="T12" s="33"/>
      <x:c r="U12" s="33"/>
      <x:c r="V12" s="33"/>
      <x:c r="W12" s="33"/>
      <x:c r="X12" s="33"/>
      <x:c r="Y12" s="33"/>
      <x:c r="Z12" s="33"/>
    </x:row>
    <x:row r="13">
      <x:c r="A13" s="33"/>
      <x:c r="B13" s="29" t="str">
        <x:v>RUM</x:v>
      </x:c>
      <x:c r="C13" s="30" t="n">
        <x:v>27.3</x:v>
      </x:c>
      <x:c r="D13" s="30" t="n">
        <x:v>38.7</x:v>
      </x:c>
      <x:c r="E13" s="30" t="n">
        <x:v>49</x:v>
      </x:c>
      <x:c r="F13" s="30" t="n">
        <x:v>60.4</x:v>
      </x:c>
      <x:c r="G13" s="30" t="n">
        <x:v>70</x:v>
      </x:c>
      <x:c r="H13" s="30" t="n">
        <x:v>81.2</x:v>
      </x:c>
      <x:c r="I13" s="30" t="n">
        <x:v>91.7</x:v>
      </x:c>
      <x:c r="J13" s="30" t="n">
        <x:v>99.4</x:v>
      </x:c>
      <x:c r="K13" s="30" t="str">
        <x:v>core T</x:v>
      </x:c>
      <x:c r="L13" s="31" t="str">
        <x:v>°C</x:v>
      </x:c>
      <x:c r="M13" s="33"/>
      <x:c r="N13" s="91"/>
      <x:c r="O13" s="92"/>
      <x:c r="P13" s="92"/>
      <x:c r="Q13" s="92"/>
      <x:c r="R13" s="93"/>
      <x:c r="S13" s="33"/>
      <x:c r="T13" s="33"/>
      <x:c r="U13" s="33"/>
      <x:c r="V13" s="33"/>
      <x:c r="W13" s="33"/>
      <x:c r="X13" s="33"/>
      <x:c r="Y13" s="33"/>
      <x:c r="Z13" s="33"/>
    </x:row>
    <x:row r="14">
      <x:c r="A14" s="33"/>
      <x:c r="B14" s="32"/>
      <x:c r="C14" s="33" t="n">
        <x:v>2.2</x:v>
      </x:c>
      <x:c r="D14" s="33" t="n">
        <x:v>3.4</x:v>
      </x:c>
      <x:c r="E14" s="33" t="n">
        <x:v>4.6</x:v>
      </x:c>
      <x:c r="F14" s="33" t="n">
        <x:v>6.6</x:v>
      </x:c>
      <x:c r="G14" s="33" t="n">
        <x:v>7.6</x:v>
      </x:c>
      <x:c r="H14" s="33" t="n">
        <x:v>9.2</x:v>
      </x:c>
      <x:c r="I14" s="33" t="n">
        <x:v>10.8</x:v>
      </x:c>
      <x:c r="J14" s="33" t="n">
        <x:v>11.9</x:v>
      </x:c>
      <x:c r="K14" s="33" t="str">
        <x:v>rise</x:v>
      </x:c>
      <x:c r="L14" s="34" t="str">
        <x:v>mm</x:v>
      </x:c>
      <x:c r="M14" s="33"/>
      <x:c r="N14" s="33"/>
      <x:c r="O14" s="33"/>
      <x:c r="P14" s="33"/>
      <x:c r="Q14" s="33"/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>
      <x:c r="A15" s="33"/>
      <x:c r="B15" s="35"/>
      <x:c r="C15" s="36" t="n">
        <x:v>0.6</x:v>
      </x:c>
      <x:c r="D15" s="36" t="n">
        <x:v>1.9</x:v>
      </x:c>
      <x:c r="E15" s="36" t="n">
        <x:v>3.5</x:v>
      </x:c>
      <x:c r="F15" s="36" t="n">
        <x:v>5.3</x:v>
      </x:c>
      <x:c r="G15" s="36" t="n">
        <x:v>6.8</x:v>
      </x:c>
      <x:c r="H15" s="36" t="n">
        <x:v>8.1</x:v>
      </x:c>
      <x:c r="I15" s="36" t="n">
        <x:v>9.9</x:v>
      </x:c>
      <x:c r="J15" s="36" t="n">
        <x:v>11.3</x:v>
      </x:c>
      <x:c r="K15" s="36" t="str">
        <x:v>loss</x:v>
      </x:c>
      <x:c r="L15" s="37" t="str">
        <x:v>%</x:v>
      </x:c>
      <x:c r="M15" s="33"/>
      <x:c r="N15" s="33"/>
      <x:c r="O15" s="33"/>
      <x:c r="P15" s="33"/>
      <x:c r="Q15" s="33"/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>
      <x:c r="A17" s="33"/>
      <x:c r="B17" s="29" t="str">
        <x:v>sugar glaze</x:v>
      </x:c>
      <x:c r="C17" s="30" t="n">
        <x:v>28.9</x:v>
      </x:c>
      <x:c r="D17" s="30" t="n">
        <x:v>38.5</x:v>
      </x:c>
      <x:c r="E17" s="30" t="n">
        <x:v>50.4</x:v>
      </x:c>
      <x:c r="F17" s="30" t="n">
        <x:v>60.4</x:v>
      </x:c>
      <x:c r="G17" s="30" t="n">
        <x:v>70.9</x:v>
      </x:c>
      <x:c r="H17" s="30" t="n">
        <x:v>81.8</x:v>
      </x:c>
      <x:c r="I17" s="30" t="n">
        <x:v>92.6</x:v>
      </x:c>
      <x:c r="J17" s="30" t="n">
        <x:v>99.4</x:v>
      </x:c>
      <x:c r="K17" s="30" t="str">
        <x:v>core T</x:v>
      </x:c>
      <x:c r="L17" s="31" t="str">
        <x:v>°C</x:v>
      </x:c>
      <x:c r="M17" s="33"/>
      <x:c r="N17" s="33"/>
      <x:c r="O17" s="33"/>
      <x:c r="P17" s="33"/>
      <x:c r="Q17" s="33"/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>
      <x:c r="A18" s="33"/>
      <x:c r="B18" s="32"/>
      <x:c r="C18" s="33" t="n">
        <x:v>2.9</x:v>
      </x:c>
      <x:c r="D18" s="33" t="n">
        <x:v>4.1</x:v>
      </x:c>
      <x:c r="E18" s="33" t="n">
        <x:v>5.4</x:v>
      </x:c>
      <x:c r="F18" s="33" t="n">
        <x:v>6.8</x:v>
      </x:c>
      <x:c r="G18" s="33" t="n">
        <x:v>7.9</x:v>
      </x:c>
      <x:c r="H18" s="33" t="n">
        <x:v>9.2</x:v>
      </x:c>
      <x:c r="I18" s="33" t="n">
        <x:v>10.6</x:v>
      </x:c>
      <x:c r="J18" s="33" t="n">
        <x:v>12</x:v>
      </x:c>
      <x:c r="K18" s="33" t="str">
        <x:v>rise</x:v>
      </x:c>
      <x:c r="L18" s="34" t="str">
        <x:v>mm</x:v>
      </x:c>
      <x:c r="M18" s="33"/>
      <x:c r="N18" s="33"/>
      <x:c r="O18" s="33"/>
      <x:c r="P18" s="33"/>
      <x:c r="Q18" s="33"/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>
      <x:c r="A19" s="33"/>
      <x:c r="B19" s="35"/>
      <x:c r="C19" s="36" t="n">
        <x:v>0.5</x:v>
      </x:c>
      <x:c r="D19" s="36" t="n">
        <x:v>2</x:v>
      </x:c>
      <x:c r="E19" s="36" t="n">
        <x:v>3.6</x:v>
      </x:c>
      <x:c r="F19" s="36" t="n">
        <x:v>5.1</x:v>
      </x:c>
      <x:c r="G19" s="36" t="n">
        <x:v>6.5</x:v>
      </x:c>
      <x:c r="H19" s="36" t="n">
        <x:v>8.1</x:v>
      </x:c>
      <x:c r="I19" s="36" t="n">
        <x:v>10.2</x:v>
      </x:c>
      <x:c r="J19" s="36" t="n">
        <x:v>11.3</x:v>
      </x:c>
      <x:c r="K19" s="36" t="str">
        <x:v>loss</x:v>
      </x:c>
      <x:c r="L19" s="37" t="str">
        <x:v>%</x:v>
      </x:c>
      <x:c r="M19" s="33"/>
      <x:c r="N19" s="33"/>
      <x:c r="O19" s="33"/>
      <x:c r="P19" s="33"/>
      <x:c r="Q19" s="33"/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>
      <x:c r="A21" s="33"/>
      <x:c r="B21" s="29" t="str">
        <x:v>cheese top</x:v>
      </x:c>
      <x:c r="C21" s="30" t="n">
        <x:v>29.6</x:v>
      </x:c>
      <x:c r="D21" s="30" t="n">
        <x:v>39.9</x:v>
      </x:c>
      <x:c r="E21" s="30" t="n">
        <x:v>50.1</x:v>
      </x:c>
      <x:c r="F21" s="30" t="n">
        <x:v>61.4</x:v>
      </x:c>
      <x:c r="G21" s="30" t="n">
        <x:v>71.2</x:v>
      </x:c>
      <x:c r="H21" s="30" t="n">
        <x:v>81.8</x:v>
      </x:c>
      <x:c r="I21" s="30" t="n">
        <x:v>93.4</x:v>
      </x:c>
      <x:c r="J21" s="30" t="n">
        <x:v>99.4</x:v>
      </x:c>
      <x:c r="K21" s="30" t="str">
        <x:v>core T</x:v>
      </x:c>
      <x:c r="L21" s="31" t="str">
        <x:v>°C</x:v>
      </x:c>
      <x:c r="M21" s="33"/>
      <x:c r="N21" s="33"/>
      <x:c r="O21" s="33"/>
      <x:c r="P21" s="33"/>
      <x:c r="Q21" s="33"/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>
      <x:c r="A22" s="33"/>
      <x:c r="B22" s="32"/>
      <x:c r="C22" s="33" t="n">
        <x:v>3.2</x:v>
      </x:c>
      <x:c r="D22" s="33" t="n">
        <x:v>4.2</x:v>
      </x:c>
      <x:c r="E22" s="33" t="n">
        <x:v>5.4</x:v>
      </x:c>
      <x:c r="F22" s="33" t="n">
        <x:v>7</x:v>
      </x:c>
      <x:c r="G22" s="33" t="n">
        <x:v>8.8</x:v>
      </x:c>
      <x:c r="H22" s="33" t="n">
        <x:v>9.9</x:v>
      </x:c>
      <x:c r="I22" s="33" t="n">
        <x:v>11.3</x:v>
      </x:c>
      <x:c r="J22" s="33" t="n">
        <x:v>12.8</x:v>
      </x:c>
      <x:c r="K22" s="33" t="str">
        <x:v>rise</x:v>
      </x:c>
      <x:c r="L22" s="34" t="str">
        <x:v>mm</x:v>
      </x:c>
      <x:c r="M22" s="33"/>
      <x:c r="N22" s="33"/>
      <x:c r="O22" s="33"/>
      <x:c r="P22" s="33"/>
      <x:c r="Q22" s="33"/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>
      <x:c r="A23" s="33"/>
      <x:c r="B23" s="35"/>
      <x:c r="C23" s="36" t="n">
        <x:v>0.2</x:v>
      </x:c>
      <x:c r="D23" s="36" t="n">
        <x:v>1.9</x:v>
      </x:c>
      <x:c r="E23" s="36" t="n">
        <x:v>3.5</x:v>
      </x:c>
      <x:c r="F23" s="36" t="n">
        <x:v>4.9</x:v>
      </x:c>
      <x:c r="G23" s="36" t="n">
        <x:v>6.9</x:v>
      </x:c>
      <x:c r="H23" s="36" t="n">
        <x:v>8.5</x:v>
      </x:c>
      <x:c r="I23" s="36" t="n">
        <x:v>9.9</x:v>
      </x:c>
      <x:c r="J23" s="36" t="n">
        <x:v>11.5</x:v>
      </x:c>
      <x:c r="K23" s="36" t="str">
        <x:v>loss</x:v>
      </x:c>
      <x:c r="L23" s="37" t="str">
        <x:v>%</x:v>
      </x:c>
      <x:c r="M23" s="33"/>
      <x:c r="N23" s="33"/>
      <x:c r="O23" s="33"/>
      <x:c r="P23" s="33"/>
      <x:c r="Q23" s="33"/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</x:sheetData>
  <x:mergeCells>
    <x:mergeCell ref="B4:L5"/>
    <x:mergeCell ref="B9:B11"/>
    <x:mergeCell ref="B13:B15"/>
    <x:mergeCell ref="B17:B19"/>
    <x:mergeCell ref="B21:B23"/>
    <x:mergeCell ref="N8:R1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</x:cols>
  <x:sheetData>
    <x:row r="1">
      <x:c r="A1" s="33"/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</x:row>
    <x:row r="3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>
      <x:c r="A4" s="33"/>
      <x:c r="B4" s="171" t="str">
        <x:v>치즈 / 195℃ 굽기 TEST</x:v>
      </x:c>
      <x:c r="C4" s="172"/>
      <x:c r="D4" s="172"/>
      <x:c r="E4" s="172"/>
      <x:c r="F4" s="172"/>
      <x:c r="G4" s="172"/>
      <x:c r="H4" s="172"/>
      <x:c r="I4" s="172"/>
      <x:c r="J4" s="172"/>
      <x:c r="K4" s="172"/>
      <x:c r="L4" s="173"/>
      <x:c r="M4" s="33"/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>
      <x:c r="A5" s="33"/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6"/>
      <x:c r="M5" s="33"/>
      <x:c r="N5" s="33"/>
      <x:c r="O5" s="33"/>
      <x:c r="P5" s="33"/>
      <x:c r="Q5" s="33"/>
      <x:c r="R5" s="33"/>
      <x:c r="S5" s="33"/>
      <x:c r="T5" s="33"/>
      <x:c r="U5" s="33"/>
      <x:c r="V5" s="33"/>
      <x:c r="W5" s="33"/>
      <x:c r="X5" s="33"/>
      <x:c r="Y5" s="33"/>
      <x:c r="Z5" s="33"/>
    </x:row>
    <x:row r="6">
      <x:c r="A6" s="33"/>
      <x:c r="B6" s="33"/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  <x:c r="W6" s="33"/>
      <x:c r="X6" s="33"/>
      <x:c r="Y6" s="33"/>
      <x:c r="Z6" s="33"/>
    </x:row>
    <x:row r="7">
      <x:c r="A7" s="33"/>
      <x:c r="B7" s="33"/>
      <x:c r="C7" s="33"/>
      <x:c r="D7" s="33"/>
      <x:c r="E7" s="33"/>
      <x:c r="F7" s="33"/>
      <x:c r="G7" s="33"/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>
      <x:c r="A8" s="33"/>
      <x:c r="B8" s="58" t="str">
        <x:v>metric</x:v>
      </x:c>
      <x:c r="C8" s="59" t="n">
        <x:v>0</x:v>
      </x:c>
      <x:c r="D8" s="59" t="n">
        <x:v>3</x:v>
      </x:c>
      <x:c r="E8" s="59" t="n">
        <x:v>6</x:v>
      </x:c>
      <x:c r="F8" s="59" t="n">
        <x:v>9</x:v>
      </x:c>
      <x:c r="G8" s="59" t="n">
        <x:v>12</x:v>
      </x:c>
      <x:c r="H8" s="59" t="n">
        <x:v>15</x:v>
      </x:c>
      <x:c r="I8" s="59" t="n">
        <x:v>18</x:v>
      </x:c>
      <x:c r="J8" s="60" t="n">
        <x:v>21</x:v>
      </x:c>
      <x:c r="K8" s="33"/>
      <x:c r="L8" s="33"/>
      <x:c r="M8" s="33"/>
      <x:c r="N8" s="85" t="str">
        <x:v>NOTE
시간이 열 방향으로 진행
표 중간에 빈 열 존재
같은 파일 내 다른 온도 시트와도 다를 수 있음</x:v>
      </x:c>
      <x:c r="O8" s="86"/>
      <x:c r="P8" s="86"/>
      <x:c r="Q8" s="86"/>
      <x:c r="R8" s="87"/>
      <x:c r="S8" s="33"/>
      <x:c r="T8" s="33"/>
      <x:c r="U8" s="33"/>
      <x:c r="V8" s="33"/>
      <x:c r="W8" s="33"/>
      <x:c r="X8" s="33"/>
      <x:c r="Y8" s="33"/>
      <x:c r="Z8" s="33"/>
    </x:row>
    <x:row r="9">
      <x:c r="A9" s="33"/>
      <x:c r="B9" s="29" t="str">
        <x:v>plain</x:v>
      </x:c>
      <x:c r="C9" s="30" t="n">
        <x:v>27.9</x:v>
      </x:c>
      <x:c r="D9" s="30" t="n">
        <x:v>39.5</x:v>
      </x:c>
      <x:c r="E9" s="30" t="n">
        <x:v>48.9</x:v>
      </x:c>
      <x:c r="F9" s="30" t="n">
        <x:v>59.6</x:v>
      </x:c>
      <x:c r="G9" s="30" t="n">
        <x:v>70.4</x:v>
      </x:c>
      <x:c r="H9" s="30" t="n">
        <x:v>81.1</x:v>
      </x:c>
      <x:c r="I9" s="30" t="n">
        <x:v>92.7</x:v>
      </x:c>
      <x:c r="J9" s="30" t="n">
        <x:v>99.4</x:v>
      </x:c>
      <x:c r="K9" s="30" t="str">
        <x:v>core T</x:v>
      </x:c>
      <x:c r="L9" s="31" t="str">
        <x:v>°C</x:v>
      </x:c>
      <x:c r="M9" s="33"/>
      <x:c r="N9" s="88"/>
      <x:c r="O9" s="89"/>
      <x:c r="P9" s="89"/>
      <x:c r="Q9" s="89"/>
      <x:c r="R9" s="90"/>
      <x:c r="S9" s="33"/>
      <x:c r="T9" s="33"/>
      <x:c r="U9" s="33"/>
      <x:c r="V9" s="33"/>
      <x:c r="W9" s="33"/>
      <x:c r="X9" s="33"/>
      <x:c r="Y9" s="33"/>
      <x:c r="Z9" s="33"/>
    </x:row>
    <x:row r="10">
      <x:c r="A10" s="33"/>
      <x:c r="B10" s="32"/>
      <x:c r="C10" s="33" t="n">
        <x:v>2</x:v>
      </x:c>
      <x:c r="D10" s="33" t="n">
        <x:v>3</x:v>
      </x:c>
      <x:c r="E10" s="33" t="n">
        <x:v>4.9</x:v>
      </x:c>
      <x:c r="F10" s="33" t="n">
        <x:v>6.4</x:v>
      </x:c>
      <x:c r="G10" s="33" t="n">
        <x:v>7.3</x:v>
      </x:c>
      <x:c r="H10" s="33" t="n">
        <x:v>9</x:v>
      </x:c>
      <x:c r="I10" s="33" t="n">
        <x:v>10.2</x:v>
      </x:c>
      <x:c r="J10" s="33" t="n">
        <x:v>11.9</x:v>
      </x:c>
      <x:c r="K10" s="33" t="str">
        <x:v>rise</x:v>
      </x:c>
      <x:c r="L10" s="34" t="str">
        <x:v>mm</x:v>
      </x:c>
      <x:c r="M10" s="33"/>
      <x:c r="N10" s="88"/>
      <x:c r="O10" s="89"/>
      <x:c r="P10" s="89"/>
      <x:c r="Q10" s="89"/>
      <x:c r="R10" s="90"/>
      <x:c r="S10" s="33"/>
      <x:c r="T10" s="33"/>
      <x:c r="U10" s="33"/>
      <x:c r="V10" s="33"/>
      <x:c r="W10" s="33"/>
      <x:c r="X10" s="33"/>
      <x:c r="Y10" s="33"/>
      <x:c r="Z10" s="33"/>
    </x:row>
    <x:row r="11">
      <x:c r="A11" s="33"/>
      <x:c r="B11" s="35"/>
      <x:c r="C11" s="36" t="n">
        <x:v>0.7</x:v>
      </x:c>
      <x:c r="D11" s="36" t="n">
        <x:v>1.9</x:v>
      </x:c>
      <x:c r="E11" s="36" t="n">
        <x:v>4</x:v>
      </x:c>
      <x:c r="F11" s="36" t="n">
        <x:v>5.1</x:v>
      </x:c>
      <x:c r="G11" s="36" t="n">
        <x:v>6.6</x:v>
      </x:c>
      <x:c r="H11" s="36" t="n">
        <x:v>8.7</x:v>
      </x:c>
      <x:c r="I11" s="36" t="n">
        <x:v>9.9</x:v>
      </x:c>
      <x:c r="J11" s="36" t="n">
        <x:v>11.8</x:v>
      </x:c>
      <x:c r="K11" s="36" t="str">
        <x:v>loss</x:v>
      </x:c>
      <x:c r="L11" s="37" t="str">
        <x:v>%</x:v>
      </x:c>
      <x:c r="M11" s="33"/>
      <x:c r="N11" s="88"/>
      <x:c r="O11" s="89"/>
      <x:c r="P11" s="89"/>
      <x:c r="Q11" s="89"/>
      <x:c r="R11" s="90"/>
      <x:c r="S11" s="33"/>
      <x:c r="T11" s="33"/>
      <x:c r="U11" s="33"/>
      <x:c r="V11" s="33"/>
      <x:c r="W11" s="33"/>
      <x:c r="X11" s="33"/>
      <x:c r="Y11" s="33"/>
      <x:c r="Z11" s="33"/>
    </x:row>
    <x:row r="12">
      <x:c r="A12" s="33"/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  <x:c r="N12" s="88"/>
      <x:c r="O12" s="89"/>
      <x:c r="P12" s="89"/>
      <x:c r="Q12" s="89"/>
      <x:c r="R12" s="90"/>
      <x:c r="S12" s="33"/>
      <x:c r="T12" s="33"/>
      <x:c r="U12" s="33"/>
      <x:c r="V12" s="33"/>
      <x:c r="W12" s="33"/>
      <x:c r="X12" s="33"/>
      <x:c r="Y12" s="33"/>
      <x:c r="Z12" s="33"/>
    </x:row>
    <x:row r="13">
      <x:c r="A13" s="33"/>
      <x:c r="B13" s="29" t="str">
        <x:v>RUM</x:v>
      </x:c>
      <x:c r="C13" s="30" t="n">
        <x:v>28.7</x:v>
      </x:c>
      <x:c r="D13" s="30" t="n">
        <x:v>39.8</x:v>
      </x:c>
      <x:c r="E13" s="30" t="n">
        <x:v>50.1</x:v>
      </x:c>
      <x:c r="F13" s="30" t="n">
        <x:v>61.2</x:v>
      </x:c>
      <x:c r="G13" s="30" t="n">
        <x:v>71.3</x:v>
      </x:c>
      <x:c r="H13" s="30" t="n">
        <x:v>82.3</x:v>
      </x:c>
      <x:c r="I13" s="30" t="n">
        <x:v>92.3</x:v>
      </x:c>
      <x:c r="J13" s="30" t="n">
        <x:v>99.4</x:v>
      </x:c>
      <x:c r="K13" s="30" t="str">
        <x:v>core T</x:v>
      </x:c>
      <x:c r="L13" s="31" t="str">
        <x:v>°C</x:v>
      </x:c>
      <x:c r="M13" s="33"/>
      <x:c r="N13" s="91"/>
      <x:c r="O13" s="92"/>
      <x:c r="P13" s="92"/>
      <x:c r="Q13" s="92"/>
      <x:c r="R13" s="93"/>
      <x:c r="S13" s="33"/>
      <x:c r="T13" s="33"/>
      <x:c r="U13" s="33"/>
      <x:c r="V13" s="33"/>
      <x:c r="W13" s="33"/>
      <x:c r="X13" s="33"/>
      <x:c r="Y13" s="33"/>
      <x:c r="Z13" s="33"/>
    </x:row>
    <x:row r="14">
      <x:c r="A14" s="33"/>
      <x:c r="B14" s="32"/>
      <x:c r="C14" s="33" t="n">
        <x:v>2.3</x:v>
      </x:c>
      <x:c r="D14" s="33" t="n">
        <x:v>4</x:v>
      </x:c>
      <x:c r="E14" s="33" t="n">
        <x:v>5</x:v>
      </x:c>
      <x:c r="F14" s="33" t="n">
        <x:v>6.7</x:v>
      </x:c>
      <x:c r="G14" s="33" t="n">
        <x:v>7.6</x:v>
      </x:c>
      <x:c r="H14" s="33" t="n">
        <x:v>9.6</x:v>
      </x:c>
      <x:c r="I14" s="33" t="n">
        <x:v>11</x:v>
      </x:c>
      <x:c r="J14" s="33" t="n">
        <x:v>11.8</x:v>
      </x:c>
      <x:c r="K14" s="33" t="str">
        <x:v>rise</x:v>
      </x:c>
      <x:c r="L14" s="34" t="str">
        <x:v>mm</x:v>
      </x:c>
      <x:c r="M14" s="33"/>
      <x:c r="N14" s="33"/>
      <x:c r="O14" s="33"/>
      <x:c r="P14" s="33"/>
      <x:c r="Q14" s="33"/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>
      <x:c r="A15" s="33"/>
      <x:c r="B15" s="35"/>
      <x:c r="C15" s="36" t="n">
        <x:v>0.9</x:v>
      </x:c>
      <x:c r="D15" s="36" t="n">
        <x:v>2.2</x:v>
      </x:c>
      <x:c r="E15" s="36" t="n">
        <x:v>3.8</x:v>
      </x:c>
      <x:c r="F15" s="36" t="n">
        <x:v>5.6</x:v>
      </x:c>
      <x:c r="G15" s="36" t="n">
        <x:v>6.9</x:v>
      </x:c>
      <x:c r="H15" s="36" t="n">
        <x:v>8.2</x:v>
      </x:c>
      <x:c r="I15" s="36" t="n">
        <x:v>10.3</x:v>
      </x:c>
      <x:c r="J15" s="36" t="n">
        <x:v>11.7</x:v>
      </x:c>
      <x:c r="K15" s="36" t="str">
        <x:v>loss</x:v>
      </x:c>
      <x:c r="L15" s="37" t="str">
        <x:v>%</x:v>
      </x:c>
      <x:c r="M15" s="33"/>
      <x:c r="N15" s="33"/>
      <x:c r="O15" s="33"/>
      <x:c r="P15" s="33"/>
      <x:c r="Q15" s="33"/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>
      <x:c r="A17" s="33"/>
      <x:c r="B17" s="29" t="str">
        <x:v>sugar glaze</x:v>
      </x:c>
      <x:c r="C17" s="30" t="n">
        <x:v>30</x:v>
      </x:c>
      <x:c r="D17" s="30" t="n">
        <x:v>40.2</x:v>
      </x:c>
      <x:c r="E17" s="30" t="n">
        <x:v>51.3</x:v>
      </x:c>
      <x:c r="F17" s="30" t="n">
        <x:v>61.9</x:v>
      </x:c>
      <x:c r="G17" s="30" t="n">
        <x:v>71.8</x:v>
      </x:c>
      <x:c r="H17" s="30" t="n">
        <x:v>83.4</x:v>
      </x:c>
      <x:c r="I17" s="30" t="n">
        <x:v>93.5</x:v>
      </x:c>
      <x:c r="J17" s="30" t="n">
        <x:v>99.4</x:v>
      </x:c>
      <x:c r="K17" s="30" t="str">
        <x:v>core T</x:v>
      </x:c>
      <x:c r="L17" s="31" t="str">
        <x:v>°C</x:v>
      </x:c>
      <x:c r="M17" s="33"/>
      <x:c r="N17" s="33"/>
      <x:c r="O17" s="33"/>
      <x:c r="P17" s="33"/>
      <x:c r="Q17" s="33"/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>
      <x:c r="A18" s="33"/>
      <x:c r="B18" s="32"/>
      <x:c r="C18" s="33" t="n">
        <x:v>2.8</x:v>
      </x:c>
      <x:c r="D18" s="33" t="n">
        <x:v>3.9</x:v>
      </x:c>
      <x:c r="E18" s="33" t="n">
        <x:v>5.2</x:v>
      </x:c>
      <x:c r="F18" s="33" t="n">
        <x:v>7</x:v>
      </x:c>
      <x:c r="G18" s="33" t="n">
        <x:v>8.3</x:v>
      </x:c>
      <x:c r="H18" s="33" t="n">
        <x:v>9.4</x:v>
      </x:c>
      <x:c r="I18" s="33" t="n">
        <x:v>11</x:v>
      </x:c>
      <x:c r="J18" s="33" t="n">
        <x:v>12.5</x:v>
      </x:c>
      <x:c r="K18" s="33" t="str">
        <x:v>rise</x:v>
      </x:c>
      <x:c r="L18" s="34" t="str">
        <x:v>mm</x:v>
      </x:c>
      <x:c r="M18" s="33"/>
      <x:c r="N18" s="33"/>
      <x:c r="O18" s="33"/>
      <x:c r="P18" s="33"/>
      <x:c r="Q18" s="33"/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>
      <x:c r="A19" s="33"/>
      <x:c r="B19" s="35"/>
      <x:c r="C19" s="36" t="n">
        <x:v>1</x:v>
      </x:c>
      <x:c r="D19" s="36" t="n">
        <x:v>2.2</x:v>
      </x:c>
      <x:c r="E19" s="36" t="n">
        <x:v>3.6</x:v>
      </x:c>
      <x:c r="F19" s="36" t="n">
        <x:v>5.6</x:v>
      </x:c>
      <x:c r="G19" s="36" t="n">
        <x:v>6.6</x:v>
      </x:c>
      <x:c r="H19" s="36" t="n">
        <x:v>8.1</x:v>
      </x:c>
      <x:c r="I19" s="36" t="n">
        <x:v>10.3</x:v>
      </x:c>
      <x:c r="J19" s="36" t="n">
        <x:v>11.3</x:v>
      </x:c>
      <x:c r="K19" s="36" t="str">
        <x:v>loss</x:v>
      </x:c>
      <x:c r="L19" s="37" t="str">
        <x:v>%</x:v>
      </x:c>
      <x:c r="M19" s="33"/>
      <x:c r="N19" s="33"/>
      <x:c r="O19" s="33"/>
      <x:c r="P19" s="33"/>
      <x:c r="Q19" s="33"/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>
      <x:c r="A21" s="33"/>
      <x:c r="B21" s="29" t="str">
        <x:v>cheese top</x:v>
      </x:c>
      <x:c r="C21" s="30" t="n">
        <x:v>29.7</x:v>
      </x:c>
      <x:c r="D21" s="30" t="n">
        <x:v>40.5</x:v>
      </x:c>
      <x:c r="E21" s="30" t="n">
        <x:v>50.9</x:v>
      </x:c>
      <x:c r="F21" s="30" t="n">
        <x:v>61.8</x:v>
      </x:c>
      <x:c r="G21" s="30" t="n">
        <x:v>72.9</x:v>
      </x:c>
      <x:c r="H21" s="30" t="n">
        <x:v>83.9</x:v>
      </x:c>
      <x:c r="I21" s="30" t="n">
        <x:v>94.6</x:v>
      </x:c>
      <x:c r="J21" s="30" t="n">
        <x:v>99.4</x:v>
      </x:c>
      <x:c r="K21" s="30" t="str">
        <x:v>core T</x:v>
      </x:c>
      <x:c r="L21" s="31" t="str">
        <x:v>°C</x:v>
      </x:c>
      <x:c r="M21" s="33"/>
      <x:c r="N21" s="33"/>
      <x:c r="O21" s="33"/>
      <x:c r="P21" s="33"/>
      <x:c r="Q21" s="33"/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>
      <x:c r="A22" s="33"/>
      <x:c r="B22" s="32"/>
      <x:c r="C22" s="33" t="n">
        <x:v>3.3</x:v>
      </x:c>
      <x:c r="D22" s="33" t="n">
        <x:v>4.6</x:v>
      </x:c>
      <x:c r="E22" s="33" t="n">
        <x:v>6.1</x:v>
      </x:c>
      <x:c r="F22" s="33" t="n">
        <x:v>7</x:v>
      </x:c>
      <x:c r="G22" s="33" t="n">
        <x:v>9</x:v>
      </x:c>
      <x:c r="H22" s="33" t="n">
        <x:v>10.1</x:v>
      </x:c>
      <x:c r="I22" s="33" t="n">
        <x:v>11.2</x:v>
      </x:c>
      <x:c r="J22" s="33" t="n">
        <x:v>12.6</x:v>
      </x:c>
      <x:c r="K22" s="33" t="str">
        <x:v>rise</x:v>
      </x:c>
      <x:c r="L22" s="34" t="str">
        <x:v>mm</x:v>
      </x:c>
      <x:c r="M22" s="33"/>
      <x:c r="N22" s="33"/>
      <x:c r="O22" s="33"/>
      <x:c r="P22" s="33"/>
      <x:c r="Q22" s="33"/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>
      <x:c r="A23" s="33"/>
      <x:c r="B23" s="35"/>
      <x:c r="C23" s="36" t="n">
        <x:v>0.7</x:v>
      </x:c>
      <x:c r="D23" s="36" t="n">
        <x:v>2.1</x:v>
      </x:c>
      <x:c r="E23" s="36" t="n">
        <x:v>3.7</x:v>
      </x:c>
      <x:c r="F23" s="36" t="n">
        <x:v>5.4</x:v>
      </x:c>
      <x:c r="G23" s="36" t="n">
        <x:v>6.9</x:v>
      </x:c>
      <x:c r="H23" s="36" t="n">
        <x:v>8.5</x:v>
      </x:c>
      <x:c r="I23" s="36" t="n">
        <x:v>10.3</x:v>
      </x:c>
      <x:c r="J23" s="36" t="n">
        <x:v>11.3</x:v>
      </x:c>
      <x:c r="K23" s="36" t="str">
        <x:v>loss</x:v>
      </x:c>
      <x:c r="L23" s="37" t="str">
        <x:v>%</x:v>
      </x:c>
      <x:c r="M23" s="33"/>
      <x:c r="N23" s="33"/>
      <x:c r="O23" s="33"/>
      <x:c r="P23" s="33"/>
      <x:c r="Q23" s="33"/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</x:sheetData>
  <x:mergeCells>
    <x:mergeCell ref="B4:L5"/>
    <x:mergeCell ref="B9:B11"/>
    <x:mergeCell ref="B13:B15"/>
    <x:mergeCell ref="B17:B19"/>
    <x:mergeCell ref="B21:B23"/>
    <x:mergeCell ref="N8:R13"/>
  </x:mergeCells>
  <x:pageMargins left="0.7" right="0.7" top="0.75" bottom="0.75" header="0.3" footer="0.3"/>
  <x:drawing xmlns:r="http://schemas.openxmlformats.org/officeDocument/2006/relationships" r:id="Rbb8331d4c4764ae8"/>
</x:worksheet>
</file>

<file path=xl/worksheets/sheet6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</x:cols>
  <x:sheetData>
    <x:row r="1">
      <x:c r="A1" s="33"/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</x:row>
    <x:row r="3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>
      <x:c r="A4" s="33"/>
      <x:c r="B4" s="171" t="str">
        <x:v>치즈 / 200℃ 굽기 TEST</x:v>
      </x:c>
      <x:c r="C4" s="172"/>
      <x:c r="D4" s="172"/>
      <x:c r="E4" s="172"/>
      <x:c r="F4" s="172"/>
      <x:c r="G4" s="172"/>
      <x:c r="H4" s="172"/>
      <x:c r="I4" s="172"/>
      <x:c r="J4" s="172"/>
      <x:c r="K4" s="172"/>
      <x:c r="L4" s="173"/>
      <x:c r="M4" s="33"/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>
      <x:c r="A5" s="33"/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6"/>
      <x:c r="M5" s="33"/>
      <x:c r="N5" s="33"/>
      <x:c r="O5" s="33"/>
      <x:c r="P5" s="33"/>
      <x:c r="Q5" s="33"/>
      <x:c r="R5" s="33"/>
      <x:c r="S5" s="33"/>
      <x:c r="T5" s="33"/>
      <x:c r="U5" s="33"/>
      <x:c r="V5" s="33"/>
      <x:c r="W5" s="33"/>
      <x:c r="X5" s="33"/>
      <x:c r="Y5" s="33"/>
      <x:c r="Z5" s="33"/>
    </x:row>
    <x:row r="6">
      <x:c r="A6" s="33"/>
      <x:c r="B6" s="33"/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  <x:c r="W6" s="33"/>
      <x:c r="X6" s="33"/>
      <x:c r="Y6" s="33"/>
      <x:c r="Z6" s="33"/>
    </x:row>
    <x:row r="7">
      <x:c r="A7" s="33"/>
      <x:c r="B7" s="33"/>
      <x:c r="C7" s="33"/>
      <x:c r="D7" s="33"/>
      <x:c r="E7" s="33"/>
      <x:c r="F7" s="33"/>
      <x:c r="G7" s="33"/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>
      <x:c r="A8" s="33"/>
      <x:c r="B8" s="58" t="str">
        <x:v>metric</x:v>
      </x:c>
      <x:c r="C8" s="59" t="n">
        <x:v>0</x:v>
      </x:c>
      <x:c r="D8" s="59" t="n">
        <x:v>3</x:v>
      </x:c>
      <x:c r="E8" s="59" t="n">
        <x:v>6</x:v>
      </x:c>
      <x:c r="F8" s="59" t="n">
        <x:v>9</x:v>
      </x:c>
      <x:c r="G8" s="59" t="n">
        <x:v>12</x:v>
      </x:c>
      <x:c r="H8" s="59" t="n">
        <x:v>15</x:v>
      </x:c>
      <x:c r="I8" s="59" t="n">
        <x:v>18</x:v>
      </x:c>
      <x:c r="J8" s="60" t="n">
        <x:v>21</x:v>
      </x:c>
      <x:c r="K8" s="33"/>
      <x:c r="L8" s="33"/>
      <x:c r="M8" s="33"/>
      <x:c r="N8" s="85" t="str">
        <x:v>NOTE
시간이 열 방향으로 진행
표 중간에 빈 열 존재
같은 파일 내 다른 온도 시트와도 다를 수 있음</x:v>
      </x:c>
      <x:c r="O8" s="86"/>
      <x:c r="P8" s="86"/>
      <x:c r="Q8" s="86"/>
      <x:c r="R8" s="87"/>
      <x:c r="S8" s="33"/>
      <x:c r="T8" s="33"/>
      <x:c r="U8" s="33"/>
      <x:c r="V8" s="33"/>
      <x:c r="W8" s="33"/>
      <x:c r="X8" s="33"/>
      <x:c r="Y8" s="33"/>
      <x:c r="Z8" s="33"/>
    </x:row>
    <x:row r="9">
      <x:c r="A9" s="33"/>
      <x:c r="B9" s="29" t="str">
        <x:v>plain</x:v>
      </x:c>
      <x:c r="C9" s="30" t="n">
        <x:v>29.3</x:v>
      </x:c>
      <x:c r="D9" s="30" t="n">
        <x:v>40.4</x:v>
      </x:c>
      <x:c r="E9" s="30" t="n">
        <x:v>50.1</x:v>
      </x:c>
      <x:c r="F9" s="30" t="n">
        <x:v>61.8</x:v>
      </x:c>
      <x:c r="G9" s="30" t="n">
        <x:v>71.7</x:v>
      </x:c>
      <x:c r="H9" s="30" t="n">
        <x:v>82.7</x:v>
      </x:c>
      <x:c r="I9" s="30" t="n">
        <x:v>92.8</x:v>
      </x:c>
      <x:c r="J9" s="30" t="n">
        <x:v>99.4</x:v>
      </x:c>
      <x:c r="K9" s="30" t="str">
        <x:v>core T</x:v>
      </x:c>
      <x:c r="L9" s="31" t="str">
        <x:v>°C</x:v>
      </x:c>
      <x:c r="M9" s="33"/>
      <x:c r="N9" s="88"/>
      <x:c r="O9" s="89"/>
      <x:c r="P9" s="89"/>
      <x:c r="Q9" s="89"/>
      <x:c r="R9" s="90"/>
      <x:c r="S9" s="33"/>
      <x:c r="T9" s="33"/>
      <x:c r="U9" s="33"/>
      <x:c r="V9" s="33"/>
      <x:c r="W9" s="33"/>
      <x:c r="X9" s="33"/>
      <x:c r="Y9" s="33"/>
      <x:c r="Z9" s="33"/>
    </x:row>
    <x:row r="10">
      <x:c r="A10" s="33"/>
      <x:c r="B10" s="32"/>
      <x:c r="C10" s="33" t="n">
        <x:v>1.8</x:v>
      </x:c>
      <x:c r="D10" s="33" t="n">
        <x:v>2.9</x:v>
      </x:c>
      <x:c r="E10" s="33" t="n">
        <x:v>4.7</x:v>
      </x:c>
      <x:c r="F10" s="33" t="n">
        <x:v>5.9</x:v>
      </x:c>
      <x:c r="G10" s="33" t="n">
        <x:v>7.2</x:v>
      </x:c>
      <x:c r="H10" s="33" t="n">
        <x:v>8.5</x:v>
      </x:c>
      <x:c r="I10" s="33" t="n">
        <x:v>10.3</x:v>
      </x:c>
      <x:c r="J10" s="33" t="n">
        <x:v>11.4</x:v>
      </x:c>
      <x:c r="K10" s="33" t="str">
        <x:v>rise</x:v>
      </x:c>
      <x:c r="L10" s="34" t="str">
        <x:v>mm</x:v>
      </x:c>
      <x:c r="M10" s="33"/>
      <x:c r="N10" s="88"/>
      <x:c r="O10" s="89"/>
      <x:c r="P10" s="89"/>
      <x:c r="Q10" s="89"/>
      <x:c r="R10" s="90"/>
      <x:c r="S10" s="33"/>
      <x:c r="T10" s="33"/>
      <x:c r="U10" s="33"/>
      <x:c r="V10" s="33"/>
      <x:c r="W10" s="33"/>
      <x:c r="X10" s="33"/>
      <x:c r="Y10" s="33"/>
      <x:c r="Z10" s="33"/>
    </x:row>
    <x:row r="11">
      <x:c r="A11" s="33"/>
      <x:c r="B11" s="35"/>
      <x:c r="C11" s="36" t="n">
        <x:v>1</x:v>
      </x:c>
      <x:c r="D11" s="36" t="n">
        <x:v>2.6</x:v>
      </x:c>
      <x:c r="E11" s="36" t="n">
        <x:v>4.2</x:v>
      </x:c>
      <x:c r="F11" s="36" t="n">
        <x:v>5.5</x:v>
      </x:c>
      <x:c r="G11" s="36" t="n">
        <x:v>7.1</x:v>
      </x:c>
      <x:c r="H11" s="36" t="n">
        <x:v>8.6</x:v>
      </x:c>
      <x:c r="I11" s="36" t="n">
        <x:v>10.1</x:v>
      </x:c>
      <x:c r="J11" s="36" t="n">
        <x:v>11.8</x:v>
      </x:c>
      <x:c r="K11" s="36" t="str">
        <x:v>loss</x:v>
      </x:c>
      <x:c r="L11" s="37" t="str">
        <x:v>%</x:v>
      </x:c>
      <x:c r="M11" s="33"/>
      <x:c r="N11" s="88"/>
      <x:c r="O11" s="89"/>
      <x:c r="P11" s="89"/>
      <x:c r="Q11" s="89"/>
      <x:c r="R11" s="90"/>
      <x:c r="S11" s="33"/>
      <x:c r="T11" s="33"/>
      <x:c r="U11" s="33"/>
      <x:c r="V11" s="33"/>
      <x:c r="W11" s="33"/>
      <x:c r="X11" s="33"/>
      <x:c r="Y11" s="33"/>
      <x:c r="Z11" s="33"/>
    </x:row>
    <x:row r="12">
      <x:c r="A12" s="33"/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  <x:c r="N12" s="88"/>
      <x:c r="O12" s="89"/>
      <x:c r="P12" s="89"/>
      <x:c r="Q12" s="89"/>
      <x:c r="R12" s="90"/>
      <x:c r="S12" s="33"/>
      <x:c r="T12" s="33"/>
      <x:c r="U12" s="33"/>
      <x:c r="V12" s="33"/>
      <x:c r="W12" s="33"/>
      <x:c r="X12" s="33"/>
      <x:c r="Y12" s="33"/>
      <x:c r="Z12" s="33"/>
    </x:row>
    <x:row r="13">
      <x:c r="A13" s="33"/>
      <x:c r="B13" s="29" t="str">
        <x:v>RUM</x:v>
      </x:c>
      <x:c r="C13" s="30" t="n">
        <x:v>30.1</x:v>
      </x:c>
      <x:c r="D13" s="30" t="n">
        <x:v>41.1</x:v>
      </x:c>
      <x:c r="E13" s="30" t="n">
        <x:v>51.6</x:v>
      </x:c>
      <x:c r="F13" s="30" t="n">
        <x:v>61.9</x:v>
      </x:c>
      <x:c r="G13" s="30" t="n">
        <x:v>72.4</x:v>
      </x:c>
      <x:c r="H13" s="30" t="n">
        <x:v>82.5</x:v>
      </x:c>
      <x:c r="I13" s="30" t="n">
        <x:v>93.5</x:v>
      </x:c>
      <x:c r="J13" s="30" t="n">
        <x:v>99.4</x:v>
      </x:c>
      <x:c r="K13" s="30" t="str">
        <x:v>core T</x:v>
      </x:c>
      <x:c r="L13" s="31" t="str">
        <x:v>°C</x:v>
      </x:c>
      <x:c r="M13" s="33"/>
      <x:c r="N13" s="91"/>
      <x:c r="O13" s="92"/>
      <x:c r="P13" s="92"/>
      <x:c r="Q13" s="92"/>
      <x:c r="R13" s="93"/>
      <x:c r="S13" s="33"/>
      <x:c r="T13" s="33"/>
      <x:c r="U13" s="33"/>
      <x:c r="V13" s="33"/>
      <x:c r="W13" s="33"/>
      <x:c r="X13" s="33"/>
      <x:c r="Y13" s="33"/>
      <x:c r="Z13" s="33"/>
    </x:row>
    <x:row r="14">
      <x:c r="A14" s="33"/>
      <x:c r="B14" s="32"/>
      <x:c r="C14" s="33" t="n">
        <x:v>2.2</x:v>
      </x:c>
      <x:c r="D14" s="33" t="n">
        <x:v>3.4</x:v>
      </x:c>
      <x:c r="E14" s="33" t="n">
        <x:v>5.1</x:v>
      </x:c>
      <x:c r="F14" s="33" t="n">
        <x:v>6.2</x:v>
      </x:c>
      <x:c r="G14" s="33" t="n">
        <x:v>7.5</x:v>
      </x:c>
      <x:c r="H14" s="33" t="n">
        <x:v>9</x:v>
      </x:c>
      <x:c r="I14" s="33" t="n">
        <x:v>10.7</x:v>
      </x:c>
      <x:c r="J14" s="33" t="n">
        <x:v>12.2</x:v>
      </x:c>
      <x:c r="K14" s="33" t="str">
        <x:v>rise</x:v>
      </x:c>
      <x:c r="L14" s="34" t="str">
        <x:v>mm</x:v>
      </x:c>
      <x:c r="M14" s="33"/>
      <x:c r="N14" s="33"/>
      <x:c r="O14" s="33"/>
      <x:c r="P14" s="33"/>
      <x:c r="Q14" s="33"/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>
      <x:c r="A15" s="33"/>
      <x:c r="B15" s="35"/>
      <x:c r="C15" s="36" t="n">
        <x:v>1.2</x:v>
      </x:c>
      <x:c r="D15" s="36" t="n">
        <x:v>2.1</x:v>
      </x:c>
      <x:c r="E15" s="36" t="n">
        <x:v>4.3</x:v>
      </x:c>
      <x:c r="F15" s="36" t="n">
        <x:v>5.5</x:v>
      </x:c>
      <x:c r="G15" s="36" t="n">
        <x:v>7.1</x:v>
      </x:c>
      <x:c r="H15" s="36" t="n">
        <x:v>8.3</x:v>
      </x:c>
      <x:c r="I15" s="36" t="n">
        <x:v>10.2</x:v>
      </x:c>
      <x:c r="J15" s="36" t="n">
        <x:v>11.6</x:v>
      </x:c>
      <x:c r="K15" s="36" t="str">
        <x:v>loss</x:v>
      </x:c>
      <x:c r="L15" s="37" t="str">
        <x:v>%</x:v>
      </x:c>
      <x:c r="M15" s="33"/>
      <x:c r="N15" s="33"/>
      <x:c r="O15" s="33"/>
      <x:c r="P15" s="33"/>
      <x:c r="Q15" s="33"/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>
      <x:c r="A17" s="33"/>
      <x:c r="B17" s="29" t="str">
        <x:v>sugar glaze</x:v>
      </x:c>
      <x:c r="C17" s="30" t="n">
        <x:v>30.1</x:v>
      </x:c>
      <x:c r="D17" s="30" t="n">
        <x:v>41.2</x:v>
      </x:c>
      <x:c r="E17" s="30" t="n">
        <x:v>51.5</x:v>
      </x:c>
      <x:c r="F17" s="30" t="n">
        <x:v>61.9</x:v>
      </x:c>
      <x:c r="G17" s="30" t="n">
        <x:v>72.6</x:v>
      </x:c>
      <x:c r="H17" s="30" t="n">
        <x:v>83.8</x:v>
      </x:c>
      <x:c r="I17" s="30" t="n">
        <x:v>94.3</x:v>
      </x:c>
      <x:c r="J17" s="30" t="n">
        <x:v>99.4</x:v>
      </x:c>
      <x:c r="K17" s="30" t="str">
        <x:v>core T</x:v>
      </x:c>
      <x:c r="L17" s="31" t="str">
        <x:v>°C</x:v>
      </x:c>
      <x:c r="M17" s="33"/>
      <x:c r="N17" s="33"/>
      <x:c r="O17" s="33"/>
      <x:c r="P17" s="33"/>
      <x:c r="Q17" s="33"/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>
      <x:c r="A18" s="33"/>
      <x:c r="B18" s="32"/>
      <x:c r="C18" s="33" t="n">
        <x:v>2.6</x:v>
      </x:c>
      <x:c r="D18" s="33" t="n">
        <x:v>4.1</x:v>
      </x:c>
      <x:c r="E18" s="33" t="n">
        <x:v>5.5</x:v>
      </x:c>
      <x:c r="F18" s="33" t="n">
        <x:v>6.5</x:v>
      </x:c>
      <x:c r="G18" s="33" t="n">
        <x:v>8.2</x:v>
      </x:c>
      <x:c r="H18" s="33" t="n">
        <x:v>9.8</x:v>
      </x:c>
      <x:c r="I18" s="33" t="n">
        <x:v>10.7</x:v>
      </x:c>
      <x:c r="J18" s="33" t="n">
        <x:v>12.4</x:v>
      </x:c>
      <x:c r="K18" s="33" t="str">
        <x:v>rise</x:v>
      </x:c>
      <x:c r="L18" s="34" t="str">
        <x:v>mm</x:v>
      </x:c>
      <x:c r="M18" s="33"/>
      <x:c r="N18" s="33"/>
      <x:c r="O18" s="33"/>
      <x:c r="P18" s="33"/>
      <x:c r="Q18" s="33"/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>
      <x:c r="A19" s="33"/>
      <x:c r="B19" s="35"/>
      <x:c r="C19" s="36" t="n">
        <x:v>0.5</x:v>
      </x:c>
      <x:c r="D19" s="36" t="n">
        <x:v>2.1</x:v>
      </x:c>
      <x:c r="E19" s="36" t="n">
        <x:v>4.1</x:v>
      </x:c>
      <x:c r="F19" s="36" t="n">
        <x:v>5.4</x:v>
      </x:c>
      <x:c r="G19" s="36" t="n">
        <x:v>6.9</x:v>
      </x:c>
      <x:c r="H19" s="36" t="n">
        <x:v>8.5</x:v>
      </x:c>
      <x:c r="I19" s="36" t="n">
        <x:v>10.4</x:v>
      </x:c>
      <x:c r="J19" s="36" t="n">
        <x:v>12</x:v>
      </x:c>
      <x:c r="K19" s="36" t="str">
        <x:v>loss</x:v>
      </x:c>
      <x:c r="L19" s="37" t="str">
        <x:v>%</x:v>
      </x:c>
      <x:c r="M19" s="33"/>
      <x:c r="N19" s="33"/>
      <x:c r="O19" s="33"/>
      <x:c r="P19" s="33"/>
      <x:c r="Q19" s="33"/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>
      <x:c r="A21" s="33"/>
      <x:c r="B21" s="29" t="str">
        <x:v>cheese top</x:v>
      </x:c>
      <x:c r="C21" s="30" t="n">
        <x:v>30.7</x:v>
      </x:c>
      <x:c r="D21" s="30" t="n">
        <x:v>42.3</x:v>
      </x:c>
      <x:c r="E21" s="30" t="n">
        <x:v>52.5</x:v>
      </x:c>
      <x:c r="F21" s="30" t="n">
        <x:v>62.6</x:v>
      </x:c>
      <x:c r="G21" s="30" t="n">
        <x:v>74.3</x:v>
      </x:c>
      <x:c r="H21" s="30" t="n">
        <x:v>83.7</x:v>
      </x:c>
      <x:c r="I21" s="30" t="n">
        <x:v>95</x:v>
      </x:c>
      <x:c r="J21" s="30" t="n">
        <x:v>99.4</x:v>
      </x:c>
      <x:c r="K21" s="30" t="str">
        <x:v>core T</x:v>
      </x:c>
      <x:c r="L21" s="31" t="str">
        <x:v>°C</x:v>
      </x:c>
      <x:c r="M21" s="33"/>
      <x:c r="N21" s="33"/>
      <x:c r="O21" s="33"/>
      <x:c r="P21" s="33"/>
      <x:c r="Q21" s="33"/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>
      <x:c r="A22" s="33"/>
      <x:c r="B22" s="32"/>
      <x:c r="C22" s="33" t="n">
        <x:v>3</x:v>
      </x:c>
      <x:c r="D22" s="33" t="n">
        <x:v>4.7</x:v>
      </x:c>
      <x:c r="E22" s="33" t="n">
        <x:v>6</x:v>
      </x:c>
      <x:c r="F22" s="33" t="n">
        <x:v>7.3</x:v>
      </x:c>
      <x:c r="G22" s="33" t="n">
        <x:v>8.5</x:v>
      </x:c>
      <x:c r="H22" s="33" t="n">
        <x:v>10.1</x:v>
      </x:c>
      <x:c r="I22" s="33" t="n">
        <x:v>11.5</x:v>
      </x:c>
      <x:c r="J22" s="33" t="n">
        <x:v>12.6</x:v>
      </x:c>
      <x:c r="K22" s="33" t="str">
        <x:v>rise</x:v>
      </x:c>
      <x:c r="L22" s="34" t="str">
        <x:v>mm</x:v>
      </x:c>
      <x:c r="M22" s="33"/>
      <x:c r="N22" s="33"/>
      <x:c r="O22" s="33"/>
      <x:c r="P22" s="33"/>
      <x:c r="Q22" s="33"/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>
      <x:c r="A23" s="33"/>
      <x:c r="B23" s="35"/>
      <x:c r="C23" s="36" t="n">
        <x:v>1.1</x:v>
      </x:c>
      <x:c r="D23" s="36" t="n">
        <x:v>2.5</x:v>
      </x:c>
      <x:c r="E23" s="36" t="n">
        <x:v>4.3</x:v>
      </x:c>
      <x:c r="F23" s="36" t="n">
        <x:v>5.4</x:v>
      </x:c>
      <x:c r="G23" s="36" t="n">
        <x:v>6.9</x:v>
      </x:c>
      <x:c r="H23" s="36" t="n">
        <x:v>8.5</x:v>
      </x:c>
      <x:c r="I23" s="36" t="n">
        <x:v>10.3</x:v>
      </x:c>
      <x:c r="J23" s="36" t="n">
        <x:v>11.9</x:v>
      </x:c>
      <x:c r="K23" s="36" t="str">
        <x:v>loss</x:v>
      </x:c>
      <x:c r="L23" s="37" t="str">
        <x:v>%</x:v>
      </x:c>
      <x:c r="M23" s="33"/>
      <x:c r="N23" s="33"/>
      <x:c r="O23" s="33"/>
      <x:c r="P23" s="33"/>
      <x:c r="Q23" s="33"/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</x:sheetData>
  <x:mergeCells>
    <x:mergeCell ref="B4:L5"/>
    <x:mergeCell ref="B9:B11"/>
    <x:mergeCell ref="B13:B15"/>
    <x:mergeCell ref="B17:B19"/>
    <x:mergeCell ref="B21:B23"/>
    <x:mergeCell ref="N8:R1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</x:cols>
  <x:sheetData>
    <x:row r="1">
      <x:c r="A1" s="33"/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</x:row>
    <x:row r="3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>
      <x:c r="A4" s="33"/>
      <x:c r="B4" s="171" t="str">
        <x:v>치즈 / 210℃ 굽기 TEST</x:v>
      </x:c>
      <x:c r="C4" s="172"/>
      <x:c r="D4" s="172"/>
      <x:c r="E4" s="172"/>
      <x:c r="F4" s="172"/>
      <x:c r="G4" s="172"/>
      <x:c r="H4" s="172"/>
      <x:c r="I4" s="172"/>
      <x:c r="J4" s="172"/>
      <x:c r="K4" s="172"/>
      <x:c r="L4" s="173"/>
      <x:c r="M4" s="33"/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>
      <x:c r="A5" s="33"/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6"/>
      <x:c r="M5" s="33"/>
      <x:c r="N5" s="33"/>
      <x:c r="O5" s="33"/>
      <x:c r="P5" s="33"/>
      <x:c r="Q5" s="33"/>
      <x:c r="R5" s="33"/>
      <x:c r="S5" s="33"/>
      <x:c r="T5" s="33"/>
      <x:c r="U5" s="33"/>
      <x:c r="V5" s="33"/>
      <x:c r="W5" s="33"/>
      <x:c r="X5" s="33"/>
      <x:c r="Y5" s="33"/>
      <x:c r="Z5" s="33"/>
    </x:row>
    <x:row r="6">
      <x:c r="A6" s="33"/>
      <x:c r="B6" s="33"/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  <x:c r="W6" s="33"/>
      <x:c r="X6" s="33"/>
      <x:c r="Y6" s="33"/>
      <x:c r="Z6" s="33"/>
    </x:row>
    <x:row r="7">
      <x:c r="A7" s="33"/>
      <x:c r="B7" s="33"/>
      <x:c r="C7" s="33"/>
      <x:c r="D7" s="33"/>
      <x:c r="E7" s="33"/>
      <x:c r="F7" s="33"/>
      <x:c r="G7" s="33"/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>
      <x:c r="A8" s="33"/>
      <x:c r="B8" s="58" t="str">
        <x:v>metric</x:v>
      </x:c>
      <x:c r="C8" s="59" t="n">
        <x:v>0</x:v>
      </x:c>
      <x:c r="D8" s="59" t="n">
        <x:v>3</x:v>
      </x:c>
      <x:c r="E8" s="59" t="n">
        <x:v>6</x:v>
      </x:c>
      <x:c r="F8" s="59" t="n">
        <x:v>9</x:v>
      </x:c>
      <x:c r="G8" s="59" t="n">
        <x:v>12</x:v>
      </x:c>
      <x:c r="H8" s="59" t="n">
        <x:v>15</x:v>
      </x:c>
      <x:c r="I8" s="59" t="n">
        <x:v>18</x:v>
      </x:c>
      <x:c r="J8" s="60" t="n">
        <x:v>21</x:v>
      </x:c>
      <x:c r="K8" s="33"/>
      <x:c r="L8" s="33"/>
      <x:c r="M8" s="33"/>
      <x:c r="N8" s="85" t="str">
        <x:v>NOTE
시간이 열 방향으로 진행
표 중간에 빈 열 존재
같은 파일 내 다른 온도 시트와도 다를 수 있음</x:v>
      </x:c>
      <x:c r="O8" s="86"/>
      <x:c r="P8" s="86"/>
      <x:c r="Q8" s="86"/>
      <x:c r="R8" s="87"/>
      <x:c r="S8" s="33"/>
      <x:c r="T8" s="33"/>
      <x:c r="U8" s="33"/>
      <x:c r="V8" s="33"/>
      <x:c r="W8" s="33"/>
      <x:c r="X8" s="33"/>
      <x:c r="Y8" s="33"/>
      <x:c r="Z8" s="33"/>
    </x:row>
    <x:row r="9">
      <x:c r="A9" s="33"/>
      <x:c r="B9" s="29" t="str">
        <x:v>plain</x:v>
      </x:c>
      <x:c r="C9" s="30" t="n">
        <x:v>31</x:v>
      </x:c>
      <x:c r="D9" s="30" t="n">
        <x:v>41.4</x:v>
      </x:c>
      <x:c r="E9" s="30" t="n">
        <x:v>53.2</x:v>
      </x:c>
      <x:c r="F9" s="30" t="n">
        <x:v>63.1</x:v>
      </x:c>
      <x:c r="G9" s="30" t="n">
        <x:v>73.8</x:v>
      </x:c>
      <x:c r="H9" s="30" t="n">
        <x:v>83.9</x:v>
      </x:c>
      <x:c r="I9" s="30" t="n">
        <x:v>95.7</x:v>
      </x:c>
      <x:c r="J9" s="30" t="n">
        <x:v>99.4</x:v>
      </x:c>
      <x:c r="K9" s="30" t="str">
        <x:v>core T</x:v>
      </x:c>
      <x:c r="L9" s="31" t="str">
        <x:v>°C</x:v>
      </x:c>
      <x:c r="M9" s="33"/>
      <x:c r="N9" s="88"/>
      <x:c r="O9" s="89"/>
      <x:c r="P9" s="89"/>
      <x:c r="Q9" s="89"/>
      <x:c r="R9" s="90"/>
      <x:c r="S9" s="33"/>
      <x:c r="T9" s="33"/>
      <x:c r="U9" s="33"/>
      <x:c r="V9" s="33"/>
      <x:c r="W9" s="33"/>
      <x:c r="X9" s="33"/>
      <x:c r="Y9" s="33"/>
      <x:c r="Z9" s="33"/>
    </x:row>
    <x:row r="10">
      <x:c r="A10" s="33"/>
      <x:c r="B10" s="32"/>
      <x:c r="C10" s="33" t="n">
        <x:v>1.2</x:v>
      </x:c>
      <x:c r="D10" s="33" t="n">
        <x:v>2.8</x:v>
      </x:c>
      <x:c r="E10" s="33" t="n">
        <x:v>4.4</x:v>
      </x:c>
      <x:c r="F10" s="33" t="n">
        <x:v>5.4</x:v>
      </x:c>
      <x:c r="G10" s="33" t="n">
        <x:v>6.9</x:v>
      </x:c>
      <x:c r="H10" s="33" t="n">
        <x:v>8.2</x:v>
      </x:c>
      <x:c r="I10" s="33" t="n">
        <x:v>9.7</x:v>
      </x:c>
      <x:c r="J10" s="33" t="n">
        <x:v>11.2</x:v>
      </x:c>
      <x:c r="K10" s="33" t="str">
        <x:v>rise</x:v>
      </x:c>
      <x:c r="L10" s="34" t="str">
        <x:v>mm</x:v>
      </x:c>
      <x:c r="M10" s="33"/>
      <x:c r="N10" s="88"/>
      <x:c r="O10" s="89"/>
      <x:c r="P10" s="89"/>
      <x:c r="Q10" s="89"/>
      <x:c r="R10" s="90"/>
      <x:c r="S10" s="33"/>
      <x:c r="T10" s="33"/>
      <x:c r="U10" s="33"/>
      <x:c r="V10" s="33"/>
      <x:c r="W10" s="33"/>
      <x:c r="X10" s="33"/>
      <x:c r="Y10" s="33"/>
      <x:c r="Z10" s="33"/>
    </x:row>
    <x:row r="11">
      <x:c r="A11" s="33"/>
      <x:c r="B11" s="35"/>
      <x:c r="C11" s="36" t="n">
        <x:v>1.3</x:v>
      </x:c>
      <x:c r="D11" s="36" t="n">
        <x:v>3</x:v>
      </x:c>
      <x:c r="E11" s="36" t="n">
        <x:v>4.6</x:v>
      </x:c>
      <x:c r="F11" s="36" t="n">
        <x:v>5.6</x:v>
      </x:c>
      <x:c r="G11" s="36" t="n">
        <x:v>7.4</x:v>
      </x:c>
      <x:c r="H11" s="36" t="n">
        <x:v>9.3</x:v>
      </x:c>
      <x:c r="I11" s="36" t="n">
        <x:v>10.9</x:v>
      </x:c>
      <x:c r="J11" s="36" t="n">
        <x:v>12.2</x:v>
      </x:c>
      <x:c r="K11" s="36" t="str">
        <x:v>loss</x:v>
      </x:c>
      <x:c r="L11" s="37" t="str">
        <x:v>%</x:v>
      </x:c>
      <x:c r="M11" s="33"/>
      <x:c r="N11" s="88"/>
      <x:c r="O11" s="89"/>
      <x:c r="P11" s="89"/>
      <x:c r="Q11" s="89"/>
      <x:c r="R11" s="90"/>
      <x:c r="S11" s="33"/>
      <x:c r="T11" s="33"/>
      <x:c r="U11" s="33"/>
      <x:c r="V11" s="33"/>
      <x:c r="W11" s="33"/>
      <x:c r="X11" s="33"/>
      <x:c r="Y11" s="33"/>
      <x:c r="Z11" s="33"/>
    </x:row>
    <x:row r="12">
      <x:c r="A12" s="33"/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  <x:c r="N12" s="88"/>
      <x:c r="O12" s="89"/>
      <x:c r="P12" s="89"/>
      <x:c r="Q12" s="89"/>
      <x:c r="R12" s="90"/>
      <x:c r="S12" s="33"/>
      <x:c r="T12" s="33"/>
      <x:c r="U12" s="33"/>
      <x:c r="V12" s="33"/>
      <x:c r="W12" s="33"/>
      <x:c r="X12" s="33"/>
      <x:c r="Y12" s="33"/>
      <x:c r="Z12" s="33"/>
    </x:row>
    <x:row r="13">
      <x:c r="A13" s="33"/>
      <x:c r="B13" s="29" t="str">
        <x:v>RUM</x:v>
      </x:c>
      <x:c r="C13" s="30" t="n">
        <x:v>31.9</x:v>
      </x:c>
      <x:c r="D13" s="30" t="n">
        <x:v>42.9</x:v>
      </x:c>
      <x:c r="E13" s="30" t="n">
        <x:v>52.8</x:v>
      </x:c>
      <x:c r="F13" s="30" t="n">
        <x:v>64.3</x:v>
      </x:c>
      <x:c r="G13" s="30" t="n">
        <x:v>74.7</x:v>
      </x:c>
      <x:c r="H13" s="30" t="n">
        <x:v>84.5</x:v>
      </x:c>
      <x:c r="I13" s="30" t="n">
        <x:v>95.1</x:v>
      </x:c>
      <x:c r="J13" s="30" t="n">
        <x:v>99.4</x:v>
      </x:c>
      <x:c r="K13" s="30" t="str">
        <x:v>core T</x:v>
      </x:c>
      <x:c r="L13" s="31" t="str">
        <x:v>°C</x:v>
      </x:c>
      <x:c r="M13" s="33"/>
      <x:c r="N13" s="91"/>
      <x:c r="O13" s="92"/>
      <x:c r="P13" s="92"/>
      <x:c r="Q13" s="92"/>
      <x:c r="R13" s="93"/>
      <x:c r="S13" s="33"/>
      <x:c r="T13" s="33"/>
      <x:c r="U13" s="33"/>
      <x:c r="V13" s="33"/>
      <x:c r="W13" s="33"/>
      <x:c r="X13" s="33"/>
      <x:c r="Y13" s="33"/>
      <x:c r="Z13" s="33"/>
    </x:row>
    <x:row r="14">
      <x:c r="A14" s="33"/>
      <x:c r="B14" s="32"/>
      <x:c r="C14" s="33" t="n">
        <x:v>2.1</x:v>
      </x:c>
      <x:c r="D14" s="33" t="n">
        <x:v>3.1</x:v>
      </x:c>
      <x:c r="E14" s="33" t="n">
        <x:v>4.4</x:v>
      </x:c>
      <x:c r="F14" s="33" t="n">
        <x:v>5.6</x:v>
      </x:c>
      <x:c r="G14" s="33" t="n">
        <x:v>7.4</x:v>
      </x:c>
      <x:c r="H14" s="33" t="n">
        <x:v>8.7</x:v>
      </x:c>
      <x:c r="I14" s="33" t="n">
        <x:v>10</x:v>
      </x:c>
      <x:c r="J14" s="33" t="n">
        <x:v>11.5</x:v>
      </x:c>
      <x:c r="K14" s="33" t="str">
        <x:v>rise</x:v>
      </x:c>
      <x:c r="L14" s="34" t="str">
        <x:v>mm</x:v>
      </x:c>
      <x:c r="M14" s="33"/>
      <x:c r="N14" s="33"/>
      <x:c r="O14" s="33"/>
      <x:c r="P14" s="33"/>
      <x:c r="Q14" s="33"/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>
      <x:c r="A15" s="33"/>
      <x:c r="B15" s="35"/>
      <x:c r="C15" s="36" t="n">
        <x:v>1.2</x:v>
      </x:c>
      <x:c r="D15" s="36" t="n">
        <x:v>2.6</x:v>
      </x:c>
      <x:c r="E15" s="36" t="n">
        <x:v>4.2</x:v>
      </x:c>
      <x:c r="F15" s="36" t="n">
        <x:v>6</x:v>
      </x:c>
      <x:c r="G15" s="36" t="n">
        <x:v>7.3</x:v>
      </x:c>
      <x:c r="H15" s="36" t="n">
        <x:v>9.2</x:v>
      </x:c>
      <x:c r="I15" s="36" t="n">
        <x:v>10.8</x:v>
      </x:c>
      <x:c r="J15" s="36" t="n">
        <x:v>12.1</x:v>
      </x:c>
      <x:c r="K15" s="36" t="str">
        <x:v>loss</x:v>
      </x:c>
      <x:c r="L15" s="37" t="str">
        <x:v>%</x:v>
      </x:c>
      <x:c r="M15" s="33"/>
      <x:c r="N15" s="33"/>
      <x:c r="O15" s="33"/>
      <x:c r="P15" s="33"/>
      <x:c r="Q15" s="33"/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>
      <x:c r="A17" s="33"/>
      <x:c r="B17" s="29" t="str">
        <x:v>sugar glaze</x:v>
      </x:c>
      <x:c r="C17" s="30" t="n">
        <x:v>32.3</x:v>
      </x:c>
      <x:c r="D17" s="30" t="n">
        <x:v>43.3</x:v>
      </x:c>
      <x:c r="E17" s="30" t="n">
        <x:v>53.2</x:v>
      </x:c>
      <x:c r="F17" s="30" t="n">
        <x:v>64.5</x:v>
      </x:c>
      <x:c r="G17" s="30" t="n">
        <x:v>75.1</x:v>
      </x:c>
      <x:c r="H17" s="30" t="n">
        <x:v>86.2</x:v>
      </x:c>
      <x:c r="I17" s="30" t="n">
        <x:v>96.3</x:v>
      </x:c>
      <x:c r="J17" s="30" t="n">
        <x:v>99.4</x:v>
      </x:c>
      <x:c r="K17" s="30" t="str">
        <x:v>core T</x:v>
      </x:c>
      <x:c r="L17" s="31" t="str">
        <x:v>°C</x:v>
      </x:c>
      <x:c r="M17" s="33"/>
      <x:c r="N17" s="33"/>
      <x:c r="O17" s="33"/>
      <x:c r="P17" s="33"/>
      <x:c r="Q17" s="33"/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>
      <x:c r="A18" s="33"/>
      <x:c r="B18" s="32"/>
      <x:c r="C18" s="33" t="n">
        <x:v>2.2</x:v>
      </x:c>
      <x:c r="D18" s="33" t="n">
        <x:v>3.7</x:v>
      </x:c>
      <x:c r="E18" s="33" t="n">
        <x:v>4.7</x:v>
      </x:c>
      <x:c r="F18" s="33" t="n">
        <x:v>6.5</x:v>
      </x:c>
      <x:c r="G18" s="33" t="n">
        <x:v>8</x:v>
      </x:c>
      <x:c r="H18" s="33" t="n">
        <x:v>9</x:v>
      </x:c>
      <x:c r="I18" s="33" t="n">
        <x:v>10.8</x:v>
      </x:c>
      <x:c r="J18" s="33" t="n">
        <x:v>11.5</x:v>
      </x:c>
      <x:c r="K18" s="33" t="str">
        <x:v>rise</x:v>
      </x:c>
      <x:c r="L18" s="34" t="str">
        <x:v>mm</x:v>
      </x:c>
      <x:c r="M18" s="33"/>
      <x:c r="N18" s="33"/>
      <x:c r="O18" s="33"/>
      <x:c r="P18" s="33"/>
      <x:c r="Q18" s="33"/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>
      <x:c r="A19" s="33"/>
      <x:c r="B19" s="35"/>
      <x:c r="C19" s="36" t="n">
        <x:v>1.4</x:v>
      </x:c>
      <x:c r="D19" s="36" t="n">
        <x:v>3.1</x:v>
      </x:c>
      <x:c r="E19" s="36" t="n">
        <x:v>4.5</x:v>
      </x:c>
      <x:c r="F19" s="36" t="n">
        <x:v>6.2</x:v>
      </x:c>
      <x:c r="G19" s="36" t="n">
        <x:v>7.3</x:v>
      </x:c>
      <x:c r="H19" s="36" t="n">
        <x:v>8.7</x:v>
      </x:c>
      <x:c r="I19" s="36" t="n">
        <x:v>10.8</x:v>
      </x:c>
      <x:c r="J19" s="36" t="n">
        <x:v>11.8</x:v>
      </x:c>
      <x:c r="K19" s="36" t="str">
        <x:v>loss</x:v>
      </x:c>
      <x:c r="L19" s="37" t="str">
        <x:v>%</x:v>
      </x:c>
      <x:c r="M19" s="33"/>
      <x:c r="N19" s="33"/>
      <x:c r="O19" s="33"/>
      <x:c r="P19" s="33"/>
      <x:c r="Q19" s="33"/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>
      <x:c r="A21" s="33"/>
      <x:c r="B21" s="29" t="str">
        <x:v>cheese top</x:v>
      </x:c>
      <x:c r="C21" s="30" t="n">
        <x:v>32.7</x:v>
      </x:c>
      <x:c r="D21" s="30" t="n">
        <x:v>43.8</x:v>
      </x:c>
      <x:c r="E21" s="30" t="n">
        <x:v>54</x:v>
      </x:c>
      <x:c r="F21" s="30" t="n">
        <x:v>65.3</x:v>
      </x:c>
      <x:c r="G21" s="30" t="n">
        <x:v>75.7</x:v>
      </x:c>
      <x:c r="H21" s="30" t="n">
        <x:v>85.9</x:v>
      </x:c>
      <x:c r="I21" s="30" t="n">
        <x:v>97.4</x:v>
      </x:c>
      <x:c r="J21" s="30" t="n">
        <x:v>99.4</x:v>
      </x:c>
      <x:c r="K21" s="30" t="str">
        <x:v>core T</x:v>
      </x:c>
      <x:c r="L21" s="31" t="str">
        <x:v>°C</x:v>
      </x:c>
      <x:c r="M21" s="33"/>
      <x:c r="N21" s="33"/>
      <x:c r="O21" s="33"/>
      <x:c r="P21" s="33"/>
      <x:c r="Q21" s="33"/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>
      <x:c r="A22" s="33"/>
      <x:c r="B22" s="32"/>
      <x:c r="C22" s="33" t="n">
        <x:v>2.7</x:v>
      </x:c>
      <x:c r="D22" s="33" t="n">
        <x:v>4.1</x:v>
      </x:c>
      <x:c r="E22" s="33" t="n">
        <x:v>5.4</x:v>
      </x:c>
      <x:c r="F22" s="33" t="n">
        <x:v>6.4</x:v>
      </x:c>
      <x:c r="G22" s="33" t="n">
        <x:v>8.2</x:v>
      </x:c>
      <x:c r="H22" s="33" t="n">
        <x:v>9.4</x:v>
      </x:c>
      <x:c r="I22" s="33" t="n">
        <x:v>11</x:v>
      </x:c>
      <x:c r="J22" s="33" t="n">
        <x:v>12.1</x:v>
      </x:c>
      <x:c r="K22" s="33" t="str">
        <x:v>rise</x:v>
      </x:c>
      <x:c r="L22" s="34" t="str">
        <x:v>mm</x:v>
      </x:c>
      <x:c r="M22" s="33"/>
      <x:c r="N22" s="33"/>
      <x:c r="O22" s="33"/>
      <x:c r="P22" s="33"/>
      <x:c r="Q22" s="33"/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>
      <x:c r="A23" s="33"/>
      <x:c r="B23" s="35"/>
      <x:c r="C23" s="36" t="n">
        <x:v>1.5</x:v>
      </x:c>
      <x:c r="D23" s="36" t="n">
        <x:v>3.1</x:v>
      </x:c>
      <x:c r="E23" s="36" t="n">
        <x:v>4.5</x:v>
      </x:c>
      <x:c r="F23" s="36" t="n">
        <x:v>5.9</x:v>
      </x:c>
      <x:c r="G23" s="36" t="n">
        <x:v>7.6</x:v>
      </x:c>
      <x:c r="H23" s="36" t="n">
        <x:v>9</x:v>
      </x:c>
      <x:c r="I23" s="36" t="n">
        <x:v>10.9</x:v>
      </x:c>
      <x:c r="J23" s="36" t="n">
        <x:v>12</x:v>
      </x:c>
      <x:c r="K23" s="36" t="str">
        <x:v>loss</x:v>
      </x:c>
      <x:c r="L23" s="37" t="str">
        <x:v>%</x:v>
      </x:c>
      <x:c r="M23" s="33"/>
      <x:c r="N23" s="33"/>
      <x:c r="O23" s="33"/>
      <x:c r="P23" s="33"/>
      <x:c r="Q23" s="33"/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</x:sheetData>
  <x:mergeCells>
    <x:mergeCell ref="B4:L5"/>
    <x:mergeCell ref="B9:B11"/>
    <x:mergeCell ref="B13:B15"/>
    <x:mergeCell ref="B17:B19"/>
    <x:mergeCell ref="B21:B23"/>
    <x:mergeCell ref="N8:R13"/>
  </x:mergeCells>
  <x:pageMargins left="0.7" right="0.7" top="0.75" bottom="0.75" header="0.3" footer="0.3"/>
  <x:drawing xmlns:r="http://schemas.openxmlformats.org/officeDocument/2006/relationships" r:id="Rc5a8b1559cba4eba"/>
</x:worksheet>
</file>

<file path=xl/worksheets/sheet8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</x:cols>
  <x:sheetData>
    <x:row r="3">
      <x:c r="D3" s="223" t="str">
        <x:v>치즈 option analysis / sale-rate</x:v>
      </x:c>
      <x:c r="E3" s="224"/>
      <x:c r="F3" s="224"/>
      <x:c r="G3" s="224"/>
      <x:c r="H3" s="224"/>
      <x:c r="I3" s="224"/>
      <x:c r="J3" s="224"/>
      <x:c r="K3" s="224"/>
      <x:c r="L3" s="224"/>
      <x:c r="M3" s="224"/>
      <x:c r="N3" s="225"/>
    </x:row>
    <x:row r="4">
      <x:c r="D4" s="226"/>
      <x:c r="E4" s="227"/>
      <x:c r="F4" s="227"/>
      <x:c r="G4" s="227"/>
      <x:c r="H4" s="227"/>
      <x:c r="I4" s="227"/>
      <x:c r="J4" s="227"/>
      <x:c r="K4" s="227"/>
      <x:c r="L4" s="227"/>
      <x:c r="M4" s="227"/>
      <x:c r="N4" s="228"/>
    </x:row>
    <x:row r="7">
      <x:c r="D7" s="58" t="str">
        <x:v>metric</x:v>
      </x:c>
      <x:c r="E7" s="59" t="str">
        <x:v>기본</x:v>
      </x:c>
      <x:c r="F7" s="59" t="str">
        <x:v>럼 추가</x:v>
      </x:c>
      <x:c r="G7" s="59" t="str">
        <x:v>설탕 코팅</x:v>
      </x:c>
      <x:c r="H7" s="59" t="str">
        <x:v>토핑</x:v>
      </x:c>
      <x:c r="I7" s="59" t="str">
        <x:v>럼+토핑</x:v>
      </x:c>
      <x:c r="J7" s="60" t="str">
        <x:v>코팅+토핑</x:v>
      </x:c>
    </x:row>
    <x:row r="8">
      <x:c r="D8" s="12" t="str">
        <x:v>Δcost(₩)</x:v>
      </x:c>
      <x:c r="E8" s="13" t="n">
        <x:v>0</x:v>
      </x:c>
      <x:c r="F8" s="13" t="n">
        <x:v>28</x:v>
      </x:c>
      <x:c r="G8" s="13" t="n">
        <x:v>18</x:v>
      </x:c>
      <x:c r="H8" s="13" t="n">
        <x:v>35</x:v>
      </x:c>
      <x:c r="I8" s="13" t="n">
        <x:v>57</x:v>
      </x:c>
      <x:c r="J8" s="14" t="n">
        <x:v>49</x:v>
      </x:c>
    </x:row>
    <x:row r="9">
      <x:c r="D9" s="15" t="str">
        <x:v>cost uplift%</x:v>
      </x:c>
      <x:c r="E9" s="16" t="n">
        <x:v>0</x:v>
      </x:c>
      <x:c r="F9" s="16" t="n">
        <x:v>5.5</x:v>
      </x:c>
      <x:c r="G9" s="16" t="n">
        <x:v>3.5</x:v>
      </x:c>
      <x:c r="H9" s="16" t="n">
        <x:v>6.8</x:v>
      </x:c>
      <x:c r="I9" s="16" t="n">
        <x:v>11.1</x:v>
      </x:c>
      <x:c r="J9" s="17" t="n">
        <x:v>9.6</x:v>
      </x:c>
    </x:row>
    <x:row r="10">
      <x:c r="D10" s="15" t="str">
        <x:v>sale rate%</x:v>
      </x:c>
      <x:c r="E10" s="16" t="n">
        <x:v>70</x:v>
      </x:c>
      <x:c r="F10" s="16" t="n">
        <x:v>72.4</x:v>
      </x:c>
      <x:c r="G10" s="16" t="n">
        <x:v>68.4</x:v>
      </x:c>
      <x:c r="H10" s="16" t="n">
        <x:v>78.2</x:v>
      </x:c>
      <x:c r="I10" s="16" t="n">
        <x:v>79.3</x:v>
      </x:c>
      <x:c r="J10" s="17" t="n">
        <x:v>76</x:v>
      </x:c>
    </x:row>
    <x:row r="11">
      <x:c r="D11" s="18" t="str">
        <x:v>remark</x:v>
      </x:c>
      <x:c r="E11" s="19" t="str">
        <x:v>base</x:v>
      </x:c>
      <x:c r="F11" s="19" t="str">
        <x:v>RUM</x:v>
      </x:c>
      <x:c r="G11" s="19" t="str">
        <x:v>coat</x:v>
      </x:c>
      <x:c r="H11" s="19" t="str">
        <x:v>photo↑</x:v>
      </x:c>
      <x:c r="I11" s="19" t="str">
        <x:v>best?</x:v>
      </x:c>
      <x:c r="J11" s="20" t="str">
        <x:v>gift</x:v>
      </x:c>
    </x:row>
  </x:sheetData>
  <x:mergeCells>
    <x:mergeCell ref="D3:N4"/>
  </x:mergeCells>
  <x:pageMargins left="0.7" right="0.7" top="0.75" bottom="0.75" header="0.3" footer="0.3"/>
  <x:drawing xmlns:r="http://schemas.openxmlformats.org/officeDocument/2006/relationships" r:id="R8206f481ad8c4524"/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</x:cols>
  <x:sheetData>
    <x:row r="3">
      <x:c r="B3" s="270" t="str">
        <x:v>작업/메모</x:v>
      </x:c>
      <x:c r="C3" s="271" t="str">
        <x:v>치즈</x:v>
      </x:c>
      <x:c r="D3" s="271" t="str"/>
      <x:c r="E3" s="271" t="str"/>
      <x:c r="F3" s="271" t="str"/>
      <x:c r="G3" s="271" t="str"/>
      <x:c r="H3" s="272" t="str"/>
    </x:row>
    <x:row r="4">
      <x:c r="B4" s="15" t="str">
        <x:v>TODO</x:v>
      </x:c>
      <x:c r="C4" s="16" t="str">
        <x:v>probe 위치 재확인</x:v>
      </x:c>
      <x:c r="D4" s="16" t="str">
        <x:v>priority</x:v>
      </x:c>
      <x:c r="E4" s="16" t="str">
        <x:v>HIGH</x:v>
      </x:c>
      <x:c r="F4" s="16" t="str"/>
      <x:c r="G4" s="16" t="str"/>
      <x:c r="H4" s="17" t="str"/>
    </x:row>
    <x:row r="5">
      <x:c r="B5" s="15" t="str">
        <x:v>NOTE</x:v>
      </x:c>
      <x:c r="C5" s="16" t="str">
        <x:v>일부 sheet 명 바꾸지 말 것</x:v>
      </x:c>
      <x:c r="D5" s="16" t="str"/>
      <x:c r="E5" s="16" t="str"/>
      <x:c r="F5" s="16" t="str"/>
      <x:c r="G5" s="16" t="str"/>
      <x:c r="H5" s="17" t="str"/>
    </x:row>
    <x:row r="6">
      <x:c r="B6" s="15" t="str">
        <x:v>temp gap</x:v>
      </x:c>
      <x:c r="C6" s="16" t="str">
        <x:v>실험 없는 온도 존재</x:v>
      </x:c>
      <x:c r="D6" s="16" t="str">
        <x:v>reason</x:v>
      </x:c>
      <x:c r="E6" s="16" t="str">
        <x:v>시간부족</x:v>
      </x:c>
      <x:c r="F6" s="16" t="str"/>
      <x:c r="G6" s="16" t="str"/>
      <x:c r="H6" s="17" t="str"/>
    </x:row>
    <x:row r="7">
      <x:c r="B7" s="15" t="str">
        <x:v>data</x:v>
      </x:c>
      <x:c r="C7" s="16" t="str">
        <x:v>사진/수기/수식 혼합</x:v>
      </x:c>
      <x:c r="D7" s="16" t="str"/>
      <x:c r="E7" s="16" t="str"/>
      <x:c r="F7" s="16" t="str"/>
      <x:c r="G7" s="16" t="str"/>
      <x:c r="H7" s="17" t="str"/>
    </x:row>
    <x:row r="8">
      <x:c r="B8" s="15" t="str">
        <x:v>owner</x:v>
      </x:c>
      <x:c r="C8" s="16" t="str">
        <x:v>QA?</x:v>
      </x:c>
      <x:c r="D8" s="16" t="str">
        <x:v>date</x:v>
      </x:c>
      <x:c r="E8" s="16" t="str">
        <x:v>2026-09</x:v>
      </x:c>
      <x:c r="F8" s="16" t="str"/>
      <x:c r="G8" s="16" t="str"/>
      <x:c r="H8" s="17" t="str"/>
    </x:row>
    <x:row r="9">
      <x:c r="B9" s="15" t="str">
        <x:v>!!!</x:v>
      </x:c>
      <x:c r="C9" s="16" t="str">
        <x:v>색상 자체가 정보임</x:v>
      </x:c>
      <x:c r="D9" s="16" t="str"/>
      <x:c r="E9" s="16" t="str"/>
      <x:c r="F9" s="16" t="str"/>
      <x:c r="G9" s="16" t="str"/>
      <x:c r="H9" s="17" t="str"/>
    </x:row>
    <x:row r="10">
      <x:c r="B10" s="18" t="str">
        <x:v>old</x:v>
      </x:c>
      <x:c r="C10" s="19" t="str">
        <x:v>지우지 말 것</x:v>
      </x:c>
      <x:c r="D10" s="19" t="str"/>
      <x:c r="E10" s="19" t="str"/>
      <x:c r="F10" s="19" t="str"/>
      <x:c r="G10" s="19" t="str"/>
      <x:c r="H10" s="20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4" max="4" width="14" hidden="0" customWidth="1"/>
    <x:col min="5" max="5" width="14" hidden="0" customWidth="1"/>
    <x:col min="6" max="6" width="18" hidden="0" customWidth="1"/>
    <x:col min="7" max="7" width="14" hidden="0" customWidth="1"/>
    <x:col min="8" max="8" width="2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</x:cols>
  <x:sheetData>
    <x:row r="3">
      <x:c r="D3" s="277" t="str">
        <x:v>치즈 포장지 후보 / package concept notes</x:v>
      </x:c>
      <x:c r="E3" s="277"/>
      <x:c r="F3" s="277"/>
      <x:c r="G3" s="277"/>
      <x:c r="H3" s="277"/>
      <x:c r="I3" s="277"/>
      <x:c r="J3" s="277"/>
      <x:c r="K3" s="277"/>
      <x:c r="L3" s="277"/>
      <x:c r="M3" s="277"/>
      <x:c r="N3" s="277"/>
      <x:c r="O3" s="277"/>
      <x:c r="P3" s="277"/>
      <x:c r="Q3" s="277"/>
    </x:row>
    <x:row r="4">
      <x:c r="D4" s="277"/>
      <x:c r="E4" s="277"/>
      <x:c r="F4" s="277"/>
      <x:c r="G4" s="277"/>
      <x:c r="H4" s="277"/>
      <x:c r="I4" s="277"/>
      <x:c r="J4" s="277"/>
      <x:c r="K4" s="277"/>
      <x:c r="L4" s="277"/>
      <x:c r="M4" s="277"/>
      <x:c r="N4" s="277"/>
      <x:c r="O4" s="277"/>
      <x:c r="P4" s="277"/>
      <x:c r="Q4" s="277"/>
    </x:row>
    <x:row r="5">
      <x:c r="D5" s="33"/>
      <x:c r="E5" s="33"/>
      <x:c r="F5" s="33"/>
      <x:c r="G5" s="33"/>
      <x:c r="H5" s="33"/>
      <x:c r="I5" s="33"/>
      <x:c r="J5" s="33"/>
      <x:c r="K5" s="33"/>
      <x:c r="L5" s="33"/>
      <x:c r="M5" s="33"/>
      <x:c r="N5" s="33"/>
      <x:c r="O5" s="33"/>
      <x:c r="P5" s="33"/>
      <x:c r="Q5" s="33"/>
    </x:row>
    <x:row r="6">
      <x:c r="D6" s="282" t="str">
        <x:v>디자인 후보</x:v>
      </x:c>
      <x:c r="E6" s="282"/>
      <x:c r="F6" s="282"/>
      <x:c r="G6" s="282"/>
      <x:c r="H6" s="282"/>
      <x:c r="I6" s="33"/>
      <x:c r="J6" s="33"/>
      <x:c r="K6" s="33"/>
      <x:c r="L6" s="33"/>
      <x:c r="M6" s="33"/>
      <x:c r="N6" s="33"/>
      <x:c r="O6" s="33"/>
      <x:c r="P6" s="33"/>
      <x:c r="Q6" s="33"/>
    </x:row>
    <x:row r="7">
      <x:c r="D7" s="294" t="str">
        <x:v>후보</x:v>
      </x:c>
      <x:c r="E7" s="295" t="str">
        <x:v>캐릭터</x:v>
      </x:c>
      <x:c r="F7" s="295" t="str">
        <x:v>첫인상</x:v>
      </x:c>
      <x:c r="G7" s="295" t="str">
        <x:v>인쇄</x:v>
      </x:c>
      <x:c r="H7" s="296" t="str">
        <x:v>메모</x:v>
      </x:c>
      <x:c r="I7" s="33"/>
      <x:c r="J7" s="33"/>
      <x:c r="K7" s="33"/>
      <x:c r="L7" s="33"/>
      <x:c r="M7" s="33"/>
      <x:c r="N7" s="33"/>
      <x:c r="O7" s="33"/>
      <x:c r="P7" s="33"/>
      <x:c r="Q7" s="33"/>
    </x:row>
    <x:row r="8">
      <x:c r="D8" s="29" t="str">
        <x:v>A</x:v>
      </x:c>
      <x:c r="E8" s="30" t="str">
        <x:v>고양이-주황</x:v>
      </x:c>
      <x:c r="F8" s="299" t="str">
        <x:v>귀여움 / 눈에 띔</x:v>
      </x:c>
      <x:c r="G8" s="30" t="str">
        <x:v>CMYK test 필요</x:v>
      </x:c>
      <x:c r="H8" s="31" t="str">
        <x:v>전면 크게?</x:v>
      </x:c>
      <x:c r="I8" s="33"/>
      <x:c r="J8" s="33"/>
      <x:c r="K8" s="33"/>
      <x:c r="L8" s="33"/>
      <x:c r="M8" s="33"/>
      <x:c r="N8" s="33"/>
      <x:c r="O8" s="33"/>
      <x:c r="P8" s="33"/>
      <x:c r="Q8" s="33"/>
    </x:row>
    <x:row r="9">
      <x:c r="D9" s="32" t="str">
        <x:v>B</x:v>
      </x:c>
      <x:c r="E9" s="298" t="str">
        <x:v>고양이-단순</x:v>
      </x:c>
      <x:c r="F9" s="300" t="str">
        <x:v>조금 더 차분</x:v>
      </x:c>
      <x:c r="G9" s="298" t="str">
        <x:v>선 얇음 주의</x:v>
      </x:c>
      <x:c r="H9" s="34" t="str">
        <x:v>스티커용 가능</x:v>
      </x:c>
      <x:c r="I9" s="33"/>
      <x:c r="J9" s="33"/>
      <x:c r="K9" s="33"/>
      <x:c r="L9" s="33"/>
      <x:c r="M9" s="33"/>
      <x:c r="N9" s="33"/>
      <x:c r="O9" s="33"/>
      <x:c r="P9" s="33"/>
      <x:c r="Q9" s="33"/>
    </x:row>
    <x:row r="10">
      <x:c r="D10" s="32" t="str">
        <x:v>C</x:v>
      </x:c>
      <x:c r="E10" s="298" t="str">
        <x:v>오리 대안</x:v>
      </x:c>
      <x:c r="F10" s="300" t="str">
        <x:v>브랜드화 가능</x:v>
      </x:c>
      <x:c r="G10" s="298" t="str">
        <x:v>갈색지 확인</x:v>
      </x:c>
      <x:c r="H10" s="34" t="str">
        <x:v>시안 보류</x:v>
      </x:c>
      <x:c r="I10" s="33"/>
      <x:c r="J10" s="33"/>
      <x:c r="K10" s="33"/>
      <x:c r="L10" s="33"/>
      <x:c r="M10" s="33"/>
      <x:c r="N10" s="33"/>
      <x:c r="O10" s="33"/>
      <x:c r="P10" s="33"/>
      <x:c r="Q10" s="33"/>
    </x:row>
    <x:row r="11">
      <x:c r="D11" s="35" t="str">
        <x:v>결론</x:v>
      </x:c>
      <x:c r="E11" s="36" t="str">
        <x:v>미정</x:v>
      </x:c>
      <x:c r="F11" s="36" t="str">
        <x:v>샘플 뽑아보고</x:v>
      </x:c>
      <x:c r="G11" s="36" t="str">
        <x:v>재검토</x:v>
      </x:c>
      <x:c r="H11" s="37" t="str">
        <x:v>★ 너무 유아틱한가?</x:v>
      </x:c>
      <x:c r="I11" s="33"/>
      <x:c r="J11" s="33"/>
      <x:c r="K11" s="33"/>
      <x:c r="L11" s="33"/>
      <x:c r="M11" s="33"/>
      <x:c r="N11" s="33"/>
      <x:c r="O11" s="33"/>
      <x:c r="P11" s="33"/>
      <x:c r="Q11" s="33"/>
    </x:row>
    <x:row r="12"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  <x:c r="N12" s="33"/>
      <x:c r="O12" s="33"/>
      <x:c r="P12" s="33"/>
      <x:c r="Q12" s="33"/>
    </x:row>
    <x:row r="13"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</x:row>
    <x:row r="14">
      <x:c r="D14" s="282" t="str">
        <x:v>포장재/사이즈 대충 기록</x:v>
      </x:c>
      <x:c r="E14" s="282"/>
      <x:c r="F14" s="282"/>
      <x:c r="G14" s="282"/>
      <x:c r="H14" s="282"/>
      <x:c r="I14" s="33"/>
      <x:c r="J14" s="33"/>
      <x:c r="K14" s="33"/>
      <x:c r="L14" s="33"/>
      <x:c r="M14" s="33"/>
      <x:c r="N14" s="33"/>
      <x:c r="O14" s="33"/>
      <x:c r="P14" s="33"/>
      <x:c r="Q14" s="33"/>
    </x:row>
    <x:row r="15">
      <x:c r="D15" s="312" t="str">
        <x:v>항목</x:v>
      </x:c>
      <x:c r="E15" s="313" t="str">
        <x:v>값</x:v>
      </x:c>
      <x:c r="F15" s="313" t="str">
        <x:v>unit</x:v>
      </x:c>
      <x:c r="G15" s="313" t="str">
        <x:v>선택?</x:v>
      </x:c>
      <x:c r="H15" s="314" t="str">
        <x:v>메모</x:v>
      </x:c>
      <x:c r="I15" s="33"/>
      <x:c r="J15" s="33"/>
      <x:c r="K15" s="33"/>
      <x:c r="L15" s="33"/>
      <x:c r="M15" s="33"/>
      <x:c r="N15" s="33"/>
      <x:c r="O15" s="33"/>
      <x:c r="P15" s="33"/>
      <x:c r="Q15" s="33"/>
    </x:row>
    <x:row r="16">
      <x:c r="D16" s="29" t="str">
        <x:v>봉투 폭</x:v>
      </x:c>
      <x:c r="E16" s="30" t="n">
        <x:v>92</x:v>
      </x:c>
      <x:c r="F16" s="30" t="str">
        <x:v>mm</x:v>
      </x:c>
      <x:c r="G16" s="30" t="str">
        <x:v>Y</x:v>
      </x:c>
      <x:c r="H16" s="31" t="str">
        <x:v>12개입 아님, 낱개</x:v>
      </x:c>
      <x:c r="I16" s="33"/>
      <x:c r="J16" s="33"/>
      <x:c r="K16" s="33"/>
      <x:c r="L16" s="33"/>
      <x:c r="M16" s="33"/>
      <x:c r="N16" s="33"/>
      <x:c r="O16" s="33"/>
      <x:c r="P16" s="33"/>
      <x:c r="Q16" s="33"/>
    </x:row>
    <x:row r="17">
      <x:c r="D17" s="32" t="str">
        <x:v>봉투 높이</x:v>
      </x:c>
      <x:c r="E17" s="298" t="n">
        <x:v>118</x:v>
      </x:c>
      <x:c r="F17" s="298" t="str">
        <x:v>mm</x:v>
      </x:c>
      <x:c r="G17" s="298" t="str">
        <x:v>Y</x:v>
      </x:c>
      <x:c r="H17" s="34" t="str">
        <x:v>+접착부</x:v>
      </x:c>
      <x:c r="I17" s="33"/>
      <x:c r="J17" s="33"/>
      <x:c r="K17" s="33"/>
      <x:c r="L17" s="33"/>
      <x:c r="M17" s="33"/>
      <x:c r="N17" s="33"/>
      <x:c r="O17" s="33"/>
      <x:c r="P17" s="33"/>
      <x:c r="Q17" s="33"/>
    </x:row>
    <x:row r="18">
      <x:c r="D18" s="32" t="str">
        <x:v>필름</x:v>
      </x:c>
      <x:c r="E18" s="298" t="str">
        <x:v>OPP+CPP</x:v>
      </x:c>
      <x:c r="F18" s="298" t="str"/>
      <x:c r="G18" s="298" t="str">
        <x:v>?</x:v>
      </x:c>
      <x:c r="H18" s="34" t="str">
        <x:v>무광도 후보</x:v>
      </x:c>
      <x:c r="I18" s="33"/>
      <x:c r="J18" s="33"/>
      <x:c r="K18" s="33"/>
      <x:c r="L18" s="33"/>
      <x:c r="M18" s="33"/>
      <x:c r="N18" s="33"/>
      <x:c r="O18" s="33"/>
      <x:c r="P18" s="33"/>
      <x:c r="Q18" s="33"/>
    </x:row>
    <x:row r="19">
      <x:c r="D19" s="32" t="str">
        <x:v>스티커</x:v>
      </x:c>
      <x:c r="E19" s="298" t="n">
        <x:v>45</x:v>
      </x:c>
      <x:c r="F19" s="298" t="str">
        <x:v>mm</x:v>
      </x:c>
      <x:c r="G19" s="298" t="str">
        <x:v>Y</x:v>
      </x:c>
      <x:c r="H19" s="34" t="str">
        <x:v>원형/사각 비교</x:v>
      </x:c>
      <x:c r="I19" s="33"/>
      <x:c r="J19" s="33"/>
      <x:c r="K19" s="33"/>
      <x:c r="L19" s="33"/>
      <x:c r="M19" s="33"/>
      <x:c r="N19" s="33"/>
      <x:c r="O19" s="33"/>
      <x:c r="P19" s="33"/>
      <x:c r="Q19" s="33"/>
    </x:row>
    <x:row r="20">
      <x:c r="D20" s="35" t="str">
        <x:v>인쇄도수</x:v>
      </x:c>
      <x:c r="E20" s="36" t="str">
        <x:v>4C</x:v>
      </x:c>
      <x:c r="F20" s="36" t="str">
        <x:v>color</x:v>
      </x:c>
      <x:c r="G20" s="36" t="str">
        <x:v>?</x:v>
      </x:c>
      <x:c r="H20" s="37" t="str">
        <x:v>단색 버전도 봄</x:v>
      </x:c>
      <x:c r="I20" s="33"/>
      <x:c r="J20" s="33"/>
      <x:c r="K20" s="33"/>
      <x:c r="L20" s="33"/>
      <x:c r="M20" s="33"/>
      <x:c r="N20" s="33"/>
      <x:c r="O20" s="33"/>
      <x:c r="P20" s="33"/>
      <x:c r="Q20" s="33"/>
    </x:row>
    <x:row r="21"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</x:row>
    <x:row r="22"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</x:row>
    <x:row r="23">
      <x:c r="D23" s="326" t="str">
        <x:v>메모
• 포장지 때문에 넣어둔 시트라 실험 데이터랑 직접 관계 없음
• 오리/고양이/부엉이 중 뭘 쓸지는 아직 미정
• 실제 납품용 로고는 별도
• '귀여운 쪽'과 '고급스러운 쪽' 두 방향 비교
• 색상 셀은 사람 눈으로 보기 위한 표시일 뿐</x:v>
      </x:c>
      <x:c r="E23" s="327"/>
      <x:c r="F23" s="327"/>
      <x:c r="G23" s="327"/>
      <x:c r="H23" s="328"/>
      <x:c r="I23" s="33"/>
      <x:c r="J23" s="33"/>
      <x:c r="K23" s="33"/>
      <x:c r="L23" s="33"/>
      <x:c r="M23" s="33"/>
      <x:c r="N23" s="33"/>
      <x:c r="O23" s="33"/>
      <x:c r="P23" s="33"/>
      <x:c r="Q23" s="33"/>
    </x:row>
    <x:row r="24">
      <x:c r="D24" s="329"/>
      <x:c r="E24" s="330"/>
      <x:c r="F24" s="330"/>
      <x:c r="G24" s="330"/>
      <x:c r="H24" s="331"/>
      <x:c r="I24" s="33"/>
      <x:c r="J24" s="33"/>
      <x:c r="K24" s="33"/>
      <x:c r="L24" s="33"/>
      <x:c r="M24" s="33"/>
      <x:c r="N24" s="33"/>
      <x:c r="O24" s="33"/>
      <x:c r="P24" s="33"/>
      <x:c r="Q24" s="33"/>
    </x:row>
    <x:row r="25">
      <x:c r="D25" s="329"/>
      <x:c r="E25" s="330"/>
      <x:c r="F25" s="330"/>
      <x:c r="G25" s="330"/>
      <x:c r="H25" s="331"/>
      <x:c r="I25" s="33"/>
      <x:c r="J25" s="33"/>
      <x:c r="K25" s="33"/>
      <x:c r="L25" s="33"/>
      <x:c r="M25" s="33"/>
      <x:c r="N25" s="33"/>
      <x:c r="O25" s="33"/>
      <x:c r="P25" s="33"/>
      <x:c r="Q25" s="33"/>
    </x:row>
    <x:row r="26">
      <x:c r="D26" s="329"/>
      <x:c r="E26" s="330"/>
      <x:c r="F26" s="330"/>
      <x:c r="G26" s="330"/>
      <x:c r="H26" s="331"/>
      <x:c r="I26" s="33"/>
      <x:c r="J26" s="33"/>
      <x:c r="K26" s="33"/>
      <x:c r="L26" s="33"/>
      <x:c r="M26" s="33"/>
      <x:c r="N26" s="33"/>
      <x:c r="O26" s="33"/>
      <x:c r="P26" s="33"/>
      <x:c r="Q26" s="33"/>
    </x:row>
    <x:row r="27">
      <x:c r="D27" s="329"/>
      <x:c r="E27" s="330"/>
      <x:c r="F27" s="330"/>
      <x:c r="G27" s="330"/>
      <x:c r="H27" s="331"/>
      <x:c r="I27" s="33"/>
      <x:c r="J27" s="33"/>
      <x:c r="K27" s="33"/>
      <x:c r="L27" s="33"/>
      <x:c r="M27" s="33"/>
      <x:c r="N27" s="33"/>
      <x:c r="O27" s="33"/>
      <x:c r="P27" s="33"/>
      <x:c r="Q27" s="33"/>
    </x:row>
    <x:row r="28">
      <x:c r="D28" s="332"/>
      <x:c r="E28" s="333"/>
      <x:c r="F28" s="333"/>
      <x:c r="G28" s="333"/>
      <x:c r="H28" s="334"/>
      <x:c r="I28" s="33"/>
      <x:c r="J28" s="33"/>
      <x:c r="K28" s="33"/>
      <x:c r="L28" s="33"/>
      <x:c r="M28" s="33"/>
      <x:c r="N28" s="33"/>
      <x:c r="O28" s="33"/>
      <x:c r="P28" s="33"/>
      <x:c r="Q28" s="33"/>
    </x:row>
    <x:row r="29"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</x:row>
    <x:row r="30"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</x:row>
    <x:row r="31">
      <x:c r="D31" s="33"/>
      <x:c r="E31" s="33"/>
      <x:c r="F31" s="33"/>
      <x:c r="G31" s="33"/>
      <x:c r="H31" s="33"/>
      <x:c r="I31" s="33"/>
      <x:c r="J31" s="350" t="str">
        <x:v>CHECK</x:v>
      </x:c>
      <x:c r="K31" s="351" t="str">
        <x:v>A</x:v>
      </x:c>
      <x:c r="L31" s="351" t="str">
        <x:v>B</x:v>
      </x:c>
      <x:c r="M31" s="351" t="str">
        <x:v>C</x:v>
      </x:c>
      <x:c r="N31" s="352" t="str">
        <x:v>note</x:v>
      </x:c>
      <x:c r="O31" s="33"/>
      <x:c r="P31" s="33"/>
      <x:c r="Q31" s="33"/>
    </x:row>
    <x:row r="32">
      <x:c r="D32" s="33"/>
      <x:c r="E32" s="33"/>
      <x:c r="F32" s="33"/>
      <x:c r="G32" s="33"/>
      <x:c r="H32" s="33"/>
      <x:c r="I32" s="33"/>
      <x:c r="J32" s="32" t="str">
        <x:v>매대가시성</x:v>
      </x:c>
      <x:c r="K32" s="298" t="str">
        <x:v>○</x:v>
      </x:c>
      <x:c r="L32" s="298" t="str">
        <x:v>△</x:v>
      </x:c>
      <x:c r="M32" s="298" t="str">
        <x:v>○</x:v>
      </x:c>
      <x:c r="N32" s="34" t="str"/>
      <x:c r="O32" s="33"/>
      <x:c r="P32" s="33"/>
      <x:c r="Q32" s="33"/>
    </x:row>
    <x:row r="33">
      <x:c r="D33" s="33"/>
      <x:c r="E33" s="33"/>
      <x:c r="F33" s="33"/>
      <x:c r="G33" s="33"/>
      <x:c r="H33" s="33"/>
      <x:c r="I33" s="33"/>
      <x:c r="J33" s="32" t="str">
        <x:v>브랜드기억</x:v>
      </x:c>
      <x:c r="K33" s="298" t="str">
        <x:v>○</x:v>
      </x:c>
      <x:c r="L33" s="298" t="str">
        <x:v>○</x:v>
      </x:c>
      <x:c r="M33" s="298" t="str">
        <x:v>◎</x:v>
      </x:c>
      <x:c r="N33" s="34" t="str"/>
      <x:c r="O33" s="33"/>
      <x:c r="P33" s="33"/>
      <x:c r="Q33" s="33"/>
    </x:row>
    <x:row r="34">
      <x:c r="D34" s="33"/>
      <x:c r="E34" s="33"/>
      <x:c r="F34" s="33"/>
      <x:c r="G34" s="33"/>
      <x:c r="H34" s="33"/>
      <x:c r="I34" s="33"/>
      <x:c r="J34" s="32" t="str">
        <x:v>원가</x:v>
      </x:c>
      <x:c r="K34" s="298" t="str">
        <x:v>◎</x:v>
      </x:c>
      <x:c r="L34" s="298" t="str">
        <x:v>○</x:v>
      </x:c>
      <x:c r="M34" s="298" t="str">
        <x:v>△</x:v>
      </x:c>
      <x:c r="N34" s="34" t="str">
        <x:v>인쇄도수</x:v>
      </x:c>
      <x:c r="O34" s="33"/>
      <x:c r="P34" s="33"/>
      <x:c r="Q34" s="33"/>
    </x:row>
    <x:row r="35">
      <x:c r="D35" s="33"/>
      <x:c r="E35" s="33"/>
      <x:c r="F35" s="33"/>
      <x:c r="G35" s="33"/>
      <x:c r="H35" s="33"/>
      <x:c r="I35" s="33"/>
      <x:c r="J35" s="35" t="str">
        <x:v>최종</x:v>
      </x:c>
      <x:c r="K35" s="36" t="str">
        <x:v>?</x:v>
      </x:c>
      <x:c r="L35" s="36" t="str">
        <x:v>?</x:v>
      </x:c>
      <x:c r="M35" s="36" t="str">
        <x:v>?</x:v>
      </x:c>
      <x:c r="N35" s="37" t="str">
        <x:v>회의필요</x:v>
      </x:c>
      <x:c r="O35" s="33"/>
      <x:c r="P35" s="33"/>
      <x:c r="Q35" s="33"/>
    </x:row>
  </x:sheetData>
  <x:mergeCells>
    <x:mergeCell ref="D3:Q4"/>
    <x:mergeCell ref="D6:H6"/>
    <x:mergeCell ref="D14:H14"/>
    <x:mergeCell ref="D23:H28"/>
  </x:mergeCells>
  <x:pageMargins left="0.7" right="0.7" top="0.75" bottom="0.75" header="0.3" footer="0.3"/>
  <x:drawing xmlns:r="http://schemas.openxmlformats.org/officeDocument/2006/relationships" r:id="R17fca287ab894069"/>
</x:worksheet>
</file>

<file path=xl/worksheets/sheet11.xml><?xml version="1.0" encoding="utf-8"?>
<x:worksheet xmlns:x="http://schemas.openxmlformats.org/spreadsheetml/2006/main">
  <x:sheetFormatPr defaultRowHeight="15"/>
  <x:cols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3">
      <x:c r="B3" s="365" t="str">
        <x:v>구분</x:v>
      </x:c>
      <x:c r="C3" s="366" t="str">
        <x:v>내용</x:v>
      </x:c>
      <x:c r="D3" s="366" t="str">
        <x:v>날짜</x:v>
      </x:c>
      <x:c r="E3" s="366" t="str">
        <x:v>누가</x:v>
      </x:c>
      <x:c r="F3" s="367" t="str">
        <x:v>비고</x:v>
      </x:c>
    </x:row>
    <x:row r="4">
      <x:c r="B4" s="15" t="str">
        <x:v>포장</x:v>
      </x:c>
      <x:c r="C4" s="297" t="str">
        <x:v>샘플 인쇄 3종</x:v>
      </x:c>
      <x:c r="D4" s="297" t="str">
        <x:v>2026-09-18</x:v>
      </x:c>
      <x:c r="E4" s="297" t="str">
        <x:v>박</x:v>
      </x:c>
      <x:c r="F4" s="17" t="str"/>
    </x:row>
    <x:row r="5">
      <x:c r="B5" s="15" t="str">
        <x:v>사진</x:v>
      </x:c>
      <x:c r="C5" s="297" t="str">
        <x:v>SNS 촬영 필요</x:v>
      </x:c>
      <x:c r="D5" s="297" t="str"/>
      <x:c r="E5" s="297" t="str"/>
      <x:c r="F5" s="17" t="str"/>
    </x:row>
    <x:row r="6">
      <x:c r="B6" s="15" t="str">
        <x:v>보류</x:v>
      </x:c>
      <x:c r="C6" s="297" t="str">
        <x:v>라벨 문구 확정 안 됨</x:v>
      </x:c>
      <x:c r="D6" s="297" t="str"/>
      <x:c r="E6" s="297" t="str"/>
      <x:c r="F6" s="17" t="str"/>
    </x:row>
    <x:row r="7">
      <x:c r="B7" s="15" t="str">
        <x:v>재고</x:v>
      </x:c>
      <x:c r="C7" s="297" t="str">
        <x:v>투명봉투 남음</x:v>
      </x:c>
      <x:c r="D7" s="297" t="str">
        <x:v>약 240장</x:v>
      </x:c>
      <x:c r="E7" s="297" t="str"/>
      <x:c r="F7" s="17" t="str"/>
    </x:row>
    <x:row r="8">
      <x:c r="B8" s="18" t="str">
        <x:v>TODO</x:v>
      </x:c>
      <x:c r="C8" s="19" t="str">
        <x:v>단가 다시 확인</x:v>
      </x:c>
      <x:c r="D8" s="19" t="str"/>
      <x:c r="E8" s="19" t="str"/>
      <x:c r="F8" s="20" t="str"/>
    </x:row>
  </x:sheetData>
  <x:pageMargins left="0.7" right="0.7" top="0.75" bottom="0.75" header="0.3" footer="0.3"/>
</x:worksheet>
</file>