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da16f3659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030d028ee7ca4b3e"/>
    <x:sheet xmlns:r="http://schemas.openxmlformats.org/officeDocument/2006/relationships" name="costing" sheetId="2" r:id="Raf701aeecefc4789"/>
    <x:sheet xmlns:r="http://schemas.openxmlformats.org/officeDocument/2006/relationships" name="180 저온" sheetId="3" r:id="R850af3f65f834592"/>
    <x:sheet xmlns:r="http://schemas.openxmlformats.org/officeDocument/2006/relationships" name="190℃" sheetId="4" r:id="R4007814f26284910"/>
    <x:sheet xmlns:r="http://schemas.openxmlformats.org/officeDocument/2006/relationships" name="T200" sheetId="5" r:id="R5809d39f8be3433e"/>
    <x:sheet xmlns:r="http://schemas.openxmlformats.org/officeDocument/2006/relationships" name="210C" sheetId="6" r:id="R86d4f00d1e0c41e4"/>
    <x:sheet xmlns:r="http://schemas.openxmlformats.org/officeDocument/2006/relationships" name="판매_토핑" sheetId="7" r:id="R0ae282e36a50483d"/>
    <x:sheet xmlns:r="http://schemas.openxmlformats.org/officeDocument/2006/relationships" name="원료사진메모" sheetId="8" r:id="Rad71ed8caebf4a14"/>
    <x:sheet xmlns:r="http://schemas.openxmlformats.org/officeDocument/2006/relationships" name="old_195_미완" sheetId="9" r:id="Re06b9529558f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0"/>
      <x:color rgb="FF000000"/>
      <x:name val="Carlito"/>
    </x:font>
    <x:font>
      <x:b/>
      <x:sz val="14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806000"/>
      </x:patternFill>
    </x:fill>
    <x:fill>
      <x:patternFill patternType="solid">
        <x:fgColor rgb="FFA0522D"/>
      </x:patternFill>
    </x:fill>
    <x:fill>
      <x:patternFill patternType="solid">
        <x:fgColor rgb="FF8064A2"/>
      </x:patternFill>
    </x:fill>
    <x:fill>
      <x:patternFill patternType="solid">
        <x:fgColor rgb="FF4472C4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  <x:fill>
      <x:patternFill patternType="solid">
        <x:fgColor rgb="FFD9E2F3"/>
      </x:patternFill>
    </x:fill>
    <x:fill>
      <x:patternFill patternType="solid">
        <x:fgColor rgb="FF7F7F7F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20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horizontal="center" wrapText="1"/>
    </x:xf>
    <x:xf numFmtId="0" fontId="2" fillId="3" borderId="22" xfId="0" applyNumberFormat="1" applyFont="1" applyFill="1" applyBorder="1" applyAlignment="1">
      <x:alignment horizontal="center" wrapText="1"/>
    </x:xf>
    <x:xf numFmtId="0" fontId="2" fillId="3" borderId="23" xfId="0" applyNumberFormat="1" applyFont="1" applyFill="1" applyBorder="1" applyAlignment="1">
      <x:alignment horizont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8" xfId="0" applyNumberFormat="1" applyFont="1" applyFill="1" applyBorder="1"/>
    <x:xf numFmtId="0" fontId="2" fillId="6" borderId="19" xfId="0" applyNumberFormat="1" applyFont="1" applyFill="1" applyBorder="1"/>
    <x:xf numFmtId="0" fontId="2" fillId="6" borderId="20" xfId="0" applyNumberFormat="1" applyFont="1" applyFill="1" applyBorder="1"/>
    <x:xf numFmtId="0" fontId="2" fillId="6" borderId="18" xfId="0" applyNumberFormat="1" applyFont="1" applyFill="1" applyBorder="1" applyAlignment="1">
      <x:alignment wrapText="1"/>
    </x:xf>
    <x:xf numFmtId="0" fontId="2" fillId="6" borderId="19" xfId="0" applyNumberFormat="1" applyFont="1" applyFill="1" applyBorder="1" applyAlignment="1">
      <x:alignment wrapText="1"/>
    </x:xf>
    <x:xf numFmtId="0" fontId="2" fillId="6" borderId="20" xfId="0" applyNumberFormat="1" applyFont="1" applyFill="1" applyBorder="1" applyAlignment="1">
      <x:alignment wrapText="1"/>
    </x:xf>
    <x:xf numFmtId="0" fontId="2" fillId="6" borderId="18" xfId="0" applyNumberFormat="1" applyFont="1" applyFill="1" applyBorder="1" applyAlignment="1">
      <x:alignment horizontal="center" wrapText="1"/>
    </x:xf>
    <x:xf numFmtId="0" fontId="2" fillId="6" borderId="19" xfId="0" applyNumberFormat="1" applyFont="1" applyFill="1" applyBorder="1" applyAlignment="1">
      <x:alignment horizontal="center" wrapText="1"/>
    </x:xf>
    <x:xf numFmtId="0" fontId="2" fillId="6" borderId="20" xfId="0" applyNumberFormat="1" applyFont="1" applyFill="1" applyBorder="1" applyAlignment="1">
      <x:alignment horizontal="center" wrapText="1"/>
    </x:xf>
    <x:xf numFmtId="0" fontId="2" fillId="6" borderId="18" xfId="0" applyNumberFormat="1" applyFont="1" applyFill="1" applyBorder="1" applyAlignment="1">
      <x:alignment horizontal="center" vertical="center" wrapText="1"/>
    </x:xf>
    <x:xf numFmtId="0" fontId="2" fillId="6" borderId="19" xfId="0" applyNumberFormat="1" applyFont="1" applyFill="1" applyBorder="1" applyAlignment="1">
      <x:alignment horizontal="center" vertical="center" wrapText="1"/>
    </x:xf>
    <x:xf numFmtId="0" fontId="2" fillId="6" borderId="2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21" xfId="0" applyNumberFormat="1" applyFont="1" applyFill="1" applyBorder="1"/>
    <x:xf numFmtId="0" fontId="2" fillId="6" borderId="22" xfId="0" applyNumberFormat="1" applyFont="1" applyFill="1" applyBorder="1"/>
    <x:xf numFmtId="0" fontId="2" fillId="6" borderId="23" xfId="0" applyNumberFormat="1" applyFont="1" applyFill="1" applyBorder="1"/>
    <x:xf numFmtId="0" fontId="2" fillId="6" borderId="21" xfId="0" applyNumberFormat="1" applyFont="1" applyFill="1" applyBorder="1" applyAlignment="1">
      <x:alignment wrapText="1"/>
    </x:xf>
    <x:xf numFmtId="0" fontId="2" fillId="6" borderId="22" xfId="0" applyNumberFormat="1" applyFont="1" applyFill="1" applyBorder="1" applyAlignment="1">
      <x:alignment wrapText="1"/>
    </x:xf>
    <x:xf numFmtId="0" fontId="2" fillId="6" borderId="23" xfId="0" applyNumberFormat="1" applyFont="1" applyFill="1" applyBorder="1" applyAlignment="1">
      <x:alignment wrapText="1"/>
    </x:xf>
    <x:xf numFmtId="0" fontId="2" fillId="6" borderId="21" xfId="0" applyNumberFormat="1" applyFont="1" applyFill="1" applyBorder="1" applyAlignment="1">
      <x:alignment horizontal="center" wrapText="1"/>
    </x:xf>
    <x:xf numFmtId="0" fontId="2" fillId="6" borderId="22" xfId="0" applyNumberFormat="1" applyFont="1" applyFill="1" applyBorder="1" applyAlignment="1">
      <x:alignment horizontal="center" wrapText="1"/>
    </x:xf>
    <x:xf numFmtId="0" fontId="2" fillId="6" borderId="23" xfId="0" applyNumberFormat="1" applyFont="1" applyFill="1" applyBorder="1" applyAlignment="1">
      <x:alignment horizontal="center" wrapText="1"/>
    </x:xf>
    <x:xf numFmtId="0" fontId="2" fillId="6" borderId="21" xfId="0" applyNumberFormat="1" applyFont="1" applyFill="1" applyBorder="1" applyAlignment="1">
      <x:alignment horizontal="center" vertical="center" wrapText="1"/>
    </x:xf>
    <x:xf numFmtId="0" fontId="2" fillId="6" borderId="22" xfId="0" applyNumberFormat="1" applyFont="1" applyFill="1" applyBorder="1" applyAlignment="1">
      <x:alignment horizontal="center" vertical="center" wrapText="1"/>
    </x:xf>
    <x:xf numFmtId="0" fontId="2" fillId="6" borderId="2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wrapText="1"/>
    </x:xf>
    <x:xf numFmtId="0" fontId="4" fillId="7" borderId="15" xfId="0" applyNumberFormat="1" applyFont="1" applyFill="1" applyBorder="1" applyAlignment="1">
      <x:alignment horizontal="center" wrapText="1"/>
    </x:xf>
    <x:xf numFmtId="0" fontId="4" fillId="7" borderId="16" xfId="0" applyNumberFormat="1" applyFont="1" applyFill="1" applyBorder="1" applyAlignment="1">
      <x:alignment horizontal="center" wrapText="1"/>
    </x:xf>
    <x:xf numFmtId="0" fontId="4" fillId="7" borderId="17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8" xfId="0" applyNumberFormat="1" applyFont="1" applyFill="1" applyBorder="1"/>
    <x:xf numFmtId="0" fontId="2" fillId="8" borderId="19" xfId="0" applyNumberFormat="1" applyFont="1" applyFill="1" applyBorder="1"/>
    <x:xf numFmtId="0" fontId="2" fillId="8" borderId="20" xfId="0" applyNumberFormat="1" applyFont="1" applyFill="1" applyBorder="1"/>
    <x:xf numFmtId="0" fontId="2" fillId="8" borderId="18" xfId="0" applyNumberFormat="1" applyFont="1" applyFill="1" applyBorder="1" applyAlignment="1">
      <x:alignment wrapText="1"/>
    </x:xf>
    <x:xf numFmtId="0" fontId="2" fillId="8" borderId="19" xfId="0" applyNumberFormat="1" applyFont="1" applyFill="1" applyBorder="1" applyAlignment="1">
      <x:alignment wrapText="1"/>
    </x:xf>
    <x:xf numFmtId="0" fontId="2" fillId="8" borderId="20" xfId="0" applyNumberFormat="1" applyFont="1" applyFill="1" applyBorder="1" applyAlignment="1">
      <x:alignment wrapText="1"/>
    </x:xf>
    <x:xf numFmtId="0" fontId="2" fillId="8" borderId="18" xfId="0" applyNumberFormat="1" applyFont="1" applyFill="1" applyBorder="1" applyAlignment="1">
      <x:alignment horizontal="center" wrapText="1"/>
    </x:xf>
    <x:xf numFmtId="0" fontId="2" fillId="8" borderId="19" xfId="0" applyNumberFormat="1" applyFont="1" applyFill="1" applyBorder="1" applyAlignment="1">
      <x:alignment horizontal="center" wrapText="1"/>
    </x:xf>
    <x:xf numFmtId="0" fontId="2" fillId="8" borderId="20" xfId="0" applyNumberFormat="1" applyFont="1" applyFill="1" applyBorder="1" applyAlignment="1">
      <x:alignment horizontal="center" wrapText="1"/>
    </x:xf>
    <x:xf numFmtId="0" fontId="2" fillId="8" borderId="18" xfId="0" applyNumberFormat="1" applyFont="1" applyFill="1" applyBorder="1" applyAlignment="1">
      <x:alignment horizontal="center" vertical="center" wrapText="1"/>
    </x:xf>
    <x:xf numFmtId="0" fontId="2" fillId="8" borderId="19" xfId="0" applyNumberFormat="1" applyFont="1" applyFill="1" applyBorder="1" applyAlignment="1">
      <x:alignment horizontal="center" vertical="center" wrapText="1"/>
    </x:xf>
    <x:xf numFmtId="0" fontId="2" fillId="8" borderId="2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21" xfId="0" applyNumberFormat="1" applyFont="1" applyFill="1" applyBorder="1"/>
    <x:xf numFmtId="0" fontId="2" fillId="8" borderId="22" xfId="0" applyNumberFormat="1" applyFont="1" applyFill="1" applyBorder="1"/>
    <x:xf numFmtId="0" fontId="2" fillId="8" borderId="23" xfId="0" applyNumberFormat="1" applyFont="1" applyFill="1" applyBorder="1"/>
    <x:xf numFmtId="0" fontId="2" fillId="8" borderId="21" xfId="0" applyNumberFormat="1" applyFont="1" applyFill="1" applyBorder="1" applyAlignment="1">
      <x:alignment wrapText="1"/>
    </x:xf>
    <x:xf numFmtId="0" fontId="2" fillId="8" borderId="22" xfId="0" applyNumberFormat="1" applyFont="1" applyFill="1" applyBorder="1" applyAlignment="1">
      <x:alignment wrapText="1"/>
    </x:xf>
    <x:xf numFmtId="0" fontId="2" fillId="8" borderId="23" xfId="0" applyNumberFormat="1" applyFont="1" applyFill="1" applyBorder="1" applyAlignment="1">
      <x:alignment wrapText="1"/>
    </x:xf>
    <x:xf numFmtId="0" fontId="2" fillId="8" borderId="21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wrapText="1"/>
    </x:xf>
    <x:xf numFmtId="0" fontId="2" fillId="8" borderId="23" xfId="0" applyNumberFormat="1" applyFont="1" applyFill="1" applyBorder="1" applyAlignment="1">
      <x:alignment horizontal="center" wrapText="1"/>
    </x:xf>
    <x:xf numFmtId="0" fontId="2" fillId="8" borderId="21" xfId="0" applyNumberFormat="1" applyFont="1" applyFill="1" applyBorder="1" applyAlignment="1">
      <x:alignment horizontal="center" vertic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0" fontId="2" fillId="8" borderId="2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2" xfId="0" applyNumberFormat="1" applyFont="1" applyFill="1" applyBorder="1"/>
    <x:xf numFmtId="0" fontId="5" fillId="9" borderId="3" xfId="0" applyNumberFormat="1" applyFont="1" applyFill="1" applyBorder="1"/>
    <x:xf numFmtId="0" fontId="5" fillId="9" borderId="4" xfId="0" applyNumberFormat="1" applyFont="1" applyFill="1" applyBorder="1"/>
    <x:xf numFmtId="0" fontId="5" fillId="9" borderId="5" xfId="0" applyNumberFormat="1" applyFont="1" applyFill="1" applyBorder="1"/>
    <x:xf numFmtId="0" fontId="5" fillId="9" borderId="6" xfId="0" applyNumberFormat="1" applyFont="1" applyFill="1" applyBorder="1"/>
    <x:xf numFmtId="0" fontId="5" fillId="9" borderId="7" xfId="0" applyNumberFormat="1" applyFont="1" applyFill="1" applyBorder="1"/>
    <x:xf numFmtId="0" fontId="5" fillId="9" borderId="8" xfId="0" applyNumberFormat="1" applyFont="1" applyFill="1" applyBorder="1"/>
    <x:xf numFmtId="0" fontId="5" fillId="9" borderId="9" xfId="0" applyNumberFormat="1" applyFont="1" applyFill="1" applyBorder="1"/>
    <x:xf numFmtId="0" fontId="5" fillId="9" borderId="2" xfId="0" applyNumberFormat="1" applyFont="1" applyFill="1" applyBorder="1" applyAlignment="1">
      <x:alignment wrapText="1"/>
    </x:xf>
    <x:xf numFmtId="0" fontId="5" fillId="9" borderId="3" xfId="0" applyNumberFormat="1" applyFont="1" applyFill="1" applyBorder="1" applyAlignment="1">
      <x:alignment wrapText="1"/>
    </x:xf>
    <x:xf numFmtId="0" fontId="5" fillId="9" borderId="4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6" xfId="0" applyNumberFormat="1" applyFont="1" applyFill="1" applyBorder="1" applyAlignment="1">
      <x:alignment wrapText="1"/>
    </x:xf>
    <x:xf numFmtId="0" fontId="5" fillId="9" borderId="7" xfId="0" applyNumberFormat="1" applyFont="1" applyFill="1" applyBorder="1" applyAlignment="1">
      <x:alignment wrapText="1"/>
    </x:xf>
    <x:xf numFmtId="0" fontId="5" fillId="9" borderId="8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0" xfId="0" applyNumberFormat="1" applyFont="1" applyFill="1" applyBorder="1"/>
    <x:xf numFmtId="0" fontId="5" fillId="9" borderId="11" xfId="0" applyNumberFormat="1" applyFont="1" applyFill="1" applyBorder="1"/>
    <x:xf numFmtId="0" fontId="5" fillId="9" borderId="12" xfId="0" applyNumberFormat="1" applyFont="1" applyFill="1" applyBorder="1"/>
    <x:xf numFmtId="0" fontId="5" fillId="9" borderId="13" xfId="0" applyNumberFormat="1" applyFont="1" applyFill="1" applyBorder="1"/>
    <x:xf numFmtId="0" fontId="5" fillId="9" borderId="14" xfId="0" applyNumberFormat="1" applyFont="1" applyFill="1" applyBorder="1"/>
    <x:xf numFmtId="0" fontId="5" fillId="9" borderId="15" xfId="0" applyNumberFormat="1" applyFont="1" applyFill="1" applyBorder="1"/>
    <x:xf numFmtId="0" fontId="5" fillId="9" borderId="16" xfId="0" applyNumberFormat="1" applyFont="1" applyFill="1" applyBorder="1"/>
    <x:xf numFmtId="0" fontId="5" fillId="9" borderId="17" xfId="0" applyNumberFormat="1" applyFont="1" applyFill="1" applyBorder="1"/>
    <x:xf numFmtId="0" fontId="5" fillId="9" borderId="10" xfId="0" applyNumberFormat="1" applyFont="1" applyFill="1" applyBorder="1" applyAlignment="1">
      <x:alignment wrapText="1"/>
    </x:xf>
    <x:xf numFmtId="0" fontId="5" fillId="9" borderId="11" xfId="0" applyNumberFormat="1" applyFont="1" applyFill="1" applyBorder="1" applyAlignment="1">
      <x:alignment wrapText="1"/>
    </x:xf>
    <x:xf numFmtId="0" fontId="5" fillId="9" borderId="12" xfId="0" applyNumberFormat="1" applyFont="1" applyFill="1" applyBorder="1" applyAlignment="1">
      <x:alignment wrapText="1"/>
    </x:xf>
    <x:xf numFmtId="0" fontId="5" fillId="9" borderId="13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5" fillId="9" borderId="14" xfId="0" applyNumberFormat="1" applyFont="1" applyFill="1" applyBorder="1" applyAlignment="1">
      <x:alignment wrapText="1"/>
    </x:xf>
    <x:xf numFmtId="0" fontId="5" fillId="9" borderId="15" xfId="0" applyNumberFormat="1" applyFont="1" applyFill="1" applyBorder="1" applyAlignment="1">
      <x:alignment wrapText="1"/>
    </x:xf>
    <x:xf numFmtId="0" fontId="5" fillId="9" borderId="16" xfId="0" applyNumberFormat="1" applyFont="1" applyFill="1" applyBorder="1" applyAlignment="1">
      <x:alignment wrapText="1"/>
    </x:xf>
    <x:xf numFmtId="0" fontId="5" fillId="9" borderId="17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" xfId="0" applyNumberFormat="1" applyFont="1" applyFill="1" applyBorder="1"/>
    <x:xf numFmtId="0" fontId="4" fillId="10" borderId="3" xfId="0" applyNumberFormat="1" applyFont="1" applyFill="1" applyBorder="1"/>
    <x:xf numFmtId="0" fontId="4" fillId="10" borderId="4" xfId="0" applyNumberFormat="1" applyFont="1" applyFill="1" applyBorder="1"/>
    <x:xf numFmtId="0" fontId="4" fillId="10" borderId="7" xfId="0" applyNumberFormat="1" applyFont="1" applyFill="1" applyBorder="1"/>
    <x:xf numFmtId="0" fontId="4" fillId="10" borderId="8" xfId="0" applyNumberFormat="1" applyFont="1" applyFill="1" applyBorder="1"/>
    <x:xf numFmtId="0" fontId="4" fillId="10" borderId="9" xfId="0" applyNumberFormat="1" applyFont="1" applyFill="1" applyBorder="1"/>
    <x:xf numFmtId="0" fontId="4" fillId="10" borderId="2" xfId="0" applyNumberFormat="1" applyFont="1" applyFill="1" applyBorder="1" applyAlignment="1">
      <x:alignment wrapText="1"/>
    </x:xf>
    <x:xf numFmtId="0" fontId="4" fillId="10" borderId="3" xfId="0" applyNumberFormat="1" applyFont="1" applyFill="1" applyBorder="1" applyAlignment="1">
      <x:alignment wrapText="1"/>
    </x:xf>
    <x:xf numFmtId="0" fontId="4" fillId="10" borderId="4" xfId="0" applyNumberFormat="1" applyFont="1" applyFill="1" applyBorder="1" applyAlignment="1">
      <x:alignment wrapText="1"/>
    </x:xf>
    <x:xf numFmtId="0" fontId="4" fillId="10" borderId="7" xfId="0" applyNumberFormat="1" applyFont="1" applyFill="1" applyBorder="1" applyAlignment="1">
      <x:alignment wrapText="1"/>
    </x:xf>
    <x:xf numFmtId="0" fontId="4" fillId="10" borderId="8" xfId="0" applyNumberFormat="1" applyFont="1" applyFill="1" applyBorder="1" applyAlignment="1">
      <x:alignment wrapText="1"/>
    </x:xf>
    <x:xf numFmtId="0" fontId="4" fillId="10" borderId="9" xfId="0" applyNumberFormat="1" applyFont="1" applyFill="1" applyBorder="1" applyAlignment="1">
      <x:alignment wrapText="1"/>
    </x:xf>
    <x:xf numFmtId="0" fontId="4" fillId="10" borderId="2" xfId="0" applyNumberFormat="1" applyFont="1" applyFill="1" applyBorder="1" applyAlignment="1">
      <x:alignment horizontal="center" wrapText="1"/>
    </x:xf>
    <x:xf numFmtId="0" fontId="4" fillId="10" borderId="3" xfId="0" applyNumberFormat="1" applyFont="1" applyFill="1" applyBorder="1" applyAlignment="1">
      <x:alignment horizontal="center" wrapText="1"/>
    </x:xf>
    <x:xf numFmtId="0" fontId="4" fillId="10" borderId="4" xfId="0" applyNumberFormat="1" applyFont="1" applyFill="1" applyBorder="1" applyAlignment="1">
      <x:alignment horizontal="center" wrapText="1"/>
    </x:xf>
    <x:xf numFmtId="0" fontId="4" fillId="10" borderId="7" xfId="0" applyNumberFormat="1" applyFont="1" applyFill="1" applyBorder="1" applyAlignment="1">
      <x:alignment horizontal="center" wrapText="1"/>
    </x:xf>
    <x:xf numFmtId="0" fontId="4" fillId="10" borderId="8" xfId="0" applyNumberFormat="1" applyFont="1" applyFill="1" applyBorder="1" applyAlignment="1">
      <x:alignment horizontal="center" wrapText="1"/>
    </x:xf>
    <x:xf numFmtId="0" fontId="4" fillId="10" borderId="9" xfId="0" applyNumberFormat="1" applyFont="1" applyFill="1" applyBorder="1" applyAlignment="1">
      <x:alignment horizont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0" fontId="4" fillId="10" borderId="3" xfId="0" applyNumberFormat="1" applyFont="1" applyFill="1" applyBorder="1" applyAlignment="1">
      <x:alignment horizontal="center" vertical="center" wrapText="1"/>
    </x:xf>
    <x:xf numFmtId="0" fontId="4" fillId="10" borderId="4" xfId="0" applyNumberFormat="1" applyFont="1" applyFill="1" applyBorder="1" applyAlignment="1">
      <x:alignment horizontal="center" vertical="center" wrapText="1"/>
    </x:xf>
    <x:xf numFmtId="0" fontId="4" fillId="10" borderId="7" xfId="0" applyNumberFormat="1" applyFont="1" applyFill="1" applyBorder="1" applyAlignment="1">
      <x:alignment horizontal="center" vertical="center" wrapText="1"/>
    </x:xf>
    <x:xf numFmtId="0" fontId="4" fillId="10" borderId="8" xfId="0" applyNumberFormat="1" applyFont="1" applyFill="1" applyBorder="1" applyAlignment="1">
      <x:alignment horizontal="center" vertic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0" xfId="0" applyNumberFormat="1" applyFont="1" applyFill="1" applyBorder="1"/>
    <x:xf numFmtId="0" fontId="4" fillId="10" borderId="11" xfId="0" applyNumberFormat="1" applyFont="1" applyFill="1" applyBorder="1"/>
    <x:xf numFmtId="0" fontId="4" fillId="10" borderId="12" xfId="0" applyNumberFormat="1" applyFont="1" applyFill="1" applyBorder="1"/>
    <x:xf numFmtId="0" fontId="4" fillId="10" borderId="15" xfId="0" applyNumberFormat="1" applyFont="1" applyFill="1" applyBorder="1"/>
    <x:xf numFmtId="0" fontId="4" fillId="10" borderId="16" xfId="0" applyNumberFormat="1" applyFont="1" applyFill="1" applyBorder="1"/>
    <x:xf numFmtId="0" fontId="4" fillId="10" borderId="17" xfId="0" applyNumberFormat="1" applyFont="1" applyFill="1" applyBorder="1"/>
    <x:xf numFmtId="0" fontId="4" fillId="10" borderId="10" xfId="0" applyNumberFormat="1" applyFont="1" applyFill="1" applyBorder="1" applyAlignment="1">
      <x:alignment wrapText="1"/>
    </x:xf>
    <x:xf numFmtId="0" fontId="4" fillId="10" borderId="11" xfId="0" applyNumberFormat="1" applyFont="1" applyFill="1" applyBorder="1" applyAlignment="1">
      <x:alignment wrapText="1"/>
    </x:xf>
    <x:xf numFmtId="0" fontId="4" fillId="10" borderId="12" xfId="0" applyNumberFormat="1" applyFont="1" applyFill="1" applyBorder="1" applyAlignment="1">
      <x:alignment wrapText="1"/>
    </x:xf>
    <x:xf numFmtId="0" fontId="4" fillId="10" borderId="15" xfId="0" applyNumberFormat="1" applyFont="1" applyFill="1" applyBorder="1" applyAlignment="1">
      <x:alignment wrapText="1"/>
    </x:xf>
    <x:xf numFmtId="0" fontId="4" fillId="10" borderId="16" xfId="0" applyNumberFormat="1" applyFont="1" applyFill="1" applyBorder="1" applyAlignment="1">
      <x:alignment wrapText="1"/>
    </x:xf>
    <x:xf numFmtId="0" fontId="4" fillId="10" borderId="17" xfId="0" applyNumberFormat="1" applyFont="1" applyFill="1" applyBorder="1" applyAlignment="1">
      <x:alignment wrapText="1"/>
    </x:xf>
    <x:xf numFmtId="0" fontId="4" fillId="10" borderId="10" xfId="0" applyNumberFormat="1" applyFont="1" applyFill="1" applyBorder="1" applyAlignment="1">
      <x:alignment horizontal="center" wrapText="1"/>
    </x:xf>
    <x:xf numFmtId="0" fontId="4" fillId="10" borderId="11" xfId="0" applyNumberFormat="1" applyFont="1" applyFill="1" applyBorder="1" applyAlignment="1">
      <x:alignment horizontal="center" wrapText="1"/>
    </x:xf>
    <x:xf numFmtId="0" fontId="4" fillId="10" borderId="12" xfId="0" applyNumberFormat="1" applyFont="1" applyFill="1" applyBorder="1" applyAlignment="1">
      <x:alignment horizontal="center" wrapText="1"/>
    </x:xf>
    <x:xf numFmtId="0" fontId="4" fillId="10" borderId="15" xfId="0" applyNumberFormat="1" applyFont="1" applyFill="1" applyBorder="1" applyAlignment="1">
      <x:alignment horizontal="center" wrapText="1"/>
    </x:xf>
    <x:xf numFmtId="0" fontId="4" fillId="10" borderId="16" xfId="0" applyNumberFormat="1" applyFont="1" applyFill="1" applyBorder="1" applyAlignment="1">
      <x:alignment horizontal="center" wrapText="1"/>
    </x:xf>
    <x:xf numFmtId="0" fontId="4" fillId="10" borderId="17" xfId="0" applyNumberFormat="1" applyFont="1" applyFill="1" applyBorder="1" applyAlignment="1">
      <x:alignment horizontal="center" wrapText="1"/>
    </x:xf>
    <x:xf numFmtId="0" fontId="4" fillId="10" borderId="10" xfId="0" applyNumberFormat="1" applyFont="1" applyFill="1" applyBorder="1" applyAlignment="1">
      <x:alignment horizontal="center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 applyAlignment="1">
      <x:alignment horizontal="center" vertical="center" wrapText="1"/>
    </x:xf>
    <x:xf numFmtId="0" fontId="4" fillId="10" borderId="16" xfId="0" applyNumberFormat="1" applyFont="1" applyFill="1" applyBorder="1" applyAlignment="1">
      <x:alignment horizontal="center" vertical="center" wrapText="1"/>
    </x:xf>
    <x:xf numFmtId="0" fontId="4" fillId="10" borderId="17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18" xfId="0" applyNumberFormat="1" applyFont="1" applyFill="1" applyBorder="1"/>
    <x:xf numFmtId="0" fontId="6" fillId="11" borderId="19" xfId="0" applyNumberFormat="1" applyFont="1" applyFill="1" applyBorder="1"/>
    <x:xf numFmtId="0" fontId="6" fillId="11" borderId="20" xfId="0" applyNumberFormat="1" applyFont="1" applyFill="1" applyBorder="1"/>
    <x:xf numFmtId="0" fontId="6" fillId="11" borderId="18" xfId="0" applyNumberFormat="1" applyFont="1" applyFill="1" applyBorder="1" applyAlignment="1">
      <x:alignment wrapText="1"/>
    </x:xf>
    <x:xf numFmtId="0" fontId="6" fillId="11" borderId="19" xfId="0" applyNumberFormat="1" applyFont="1" applyFill="1" applyBorder="1" applyAlignment="1">
      <x:alignment wrapText="1"/>
    </x:xf>
    <x:xf numFmtId="0" fontId="6" fillId="11" borderId="20" xfId="0" applyNumberFormat="1" applyFont="1" applyFill="1" applyBorder="1" applyAlignment="1">
      <x:alignment wrapText="1"/>
    </x:xf>
    <x:xf numFmtId="0" fontId="6" fillId="11" borderId="18" xfId="0" applyNumberFormat="1" applyFont="1" applyFill="1" applyBorder="1" applyAlignment="1">
      <x:alignment horizontal="center" wrapText="1"/>
    </x:xf>
    <x:xf numFmtId="0" fontId="6" fillId="11" borderId="19" xfId="0" applyNumberFormat="1" applyFont="1" applyFill="1" applyBorder="1" applyAlignment="1">
      <x:alignment horizontal="center" wrapText="1"/>
    </x:xf>
    <x:xf numFmtId="0" fontId="6" fillId="11" borderId="20" xfId="0" applyNumberFormat="1" applyFont="1" applyFill="1" applyBorder="1" applyAlignment="1">
      <x:alignment horizontal="center" wrapText="1"/>
    </x:xf>
    <x:xf numFmtId="0" fontId="6" fillId="11" borderId="18" xfId="0" applyNumberFormat="1" applyFont="1" applyFill="1" applyBorder="1" applyAlignment="1">
      <x:alignment horizontal="center" vertical="center" wrapText="1"/>
    </x:xf>
    <x:xf numFmtId="0" fontId="6" fillId="11" borderId="19" xfId="0" applyNumberFormat="1" applyFont="1" applyFill="1" applyBorder="1" applyAlignment="1">
      <x:alignment horizontal="center" vertical="center" wrapText="1"/>
    </x:xf>
    <x:xf numFmtId="0" fontId="6" fillId="11" borderId="2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6" fillId="11" borderId="1" xfId="0" applyNumberFormat="1" applyFont="1" applyFill="1" applyBorder="1"/>
    <x:xf numFmtId="0" fontId="6" fillId="11" borderId="21" xfId="0" applyNumberFormat="1" applyFont="1" applyFill="1" applyBorder="1"/>
    <x:xf numFmtId="0" fontId="6" fillId="11" borderId="22" xfId="0" applyNumberFormat="1" applyFont="1" applyFill="1" applyBorder="1"/>
    <x:xf numFmtId="0" fontId="6" fillId="11" borderId="23" xfId="0" applyNumberFormat="1" applyFont="1" applyFill="1" applyBorder="1"/>
    <x:xf numFmtId="0" fontId="6" fillId="11" borderId="21" xfId="0" applyNumberFormat="1" applyFont="1" applyFill="1" applyBorder="1" applyAlignment="1">
      <x:alignment wrapText="1"/>
    </x:xf>
    <x:xf numFmtId="0" fontId="6" fillId="11" borderId="22" xfId="0" applyNumberFormat="1" applyFont="1" applyFill="1" applyBorder="1" applyAlignment="1">
      <x:alignment wrapText="1"/>
    </x:xf>
    <x:xf numFmtId="0" fontId="6" fillId="11" borderId="23" xfId="0" applyNumberFormat="1" applyFont="1" applyFill="1" applyBorder="1" applyAlignment="1">
      <x:alignment wrapText="1"/>
    </x:xf>
    <x:xf numFmtId="0" fontId="6" fillId="11" borderId="21" xfId="0" applyNumberFormat="1" applyFont="1" applyFill="1" applyBorder="1" applyAlignment="1">
      <x:alignment horizontal="center" wrapText="1"/>
    </x:xf>
    <x:xf numFmtId="0" fontId="6" fillId="11" borderId="22" xfId="0" applyNumberFormat="1" applyFont="1" applyFill="1" applyBorder="1" applyAlignment="1">
      <x:alignment horizontal="center" wrapText="1"/>
    </x:xf>
    <x:xf numFmtId="0" fontId="6" fillId="11" borderId="23" xfId="0" applyNumberFormat="1" applyFont="1" applyFill="1" applyBorder="1" applyAlignment="1">
      <x:alignment horizontal="center" wrapText="1"/>
    </x:xf>
    <x:xf numFmtId="0" fontId="6" fillId="11" borderId="21" xfId="0" applyNumberFormat="1" applyFont="1" applyFill="1" applyBorder="1" applyAlignment="1">
      <x:alignment horizontal="center" vertical="center" wrapText="1"/>
    </x:xf>
    <x:xf numFmtId="0" fontId="6" fillId="11" borderId="22" xfId="0" applyNumberFormat="1" applyFont="1" applyFill="1" applyBorder="1" applyAlignment="1">
      <x:alignment horizontal="center" vertical="center" wrapText="1"/>
    </x:xf>
    <x:xf numFmtId="0" fontId="6" fillId="11" borderId="2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2" xfId="0" applyNumberFormat="1" applyFont="1" applyFill="1" applyBorder="1"/>
    <x:xf numFmtId="0" fontId="7" fillId="12" borderId="3" xfId="0" applyNumberFormat="1" applyFont="1" applyFill="1" applyBorder="1"/>
    <x:xf numFmtId="0" fontId="7" fillId="12" borderId="4" xfId="0" applyNumberFormat="1" applyFont="1" applyFill="1" applyBorder="1"/>
    <x:xf numFmtId="0" fontId="7" fillId="12" borderId="7" xfId="0" applyNumberFormat="1" applyFont="1" applyFill="1" applyBorder="1"/>
    <x:xf numFmtId="0" fontId="7" fillId="12" borderId="8" xfId="0" applyNumberFormat="1" applyFont="1" applyFill="1" applyBorder="1"/>
    <x:xf numFmtId="0" fontId="7" fillId="12" borderId="9" xfId="0" applyNumberFormat="1" applyFont="1" applyFill="1" applyBorder="1"/>
    <x:xf numFmtId="0" fontId="7" fillId="12" borderId="2" xfId="0" applyNumberFormat="1" applyFont="1" applyFill="1" applyBorder="1" applyAlignment="1">
      <x:alignment wrapText="1"/>
    </x:xf>
    <x:xf numFmtId="0" fontId="7" fillId="12" borderId="3" xfId="0" applyNumberFormat="1" applyFont="1" applyFill="1" applyBorder="1" applyAlignment="1">
      <x:alignment wrapText="1"/>
    </x:xf>
    <x:xf numFmtId="0" fontId="7" fillId="12" borderId="4" xfId="0" applyNumberFormat="1" applyFont="1" applyFill="1" applyBorder="1" applyAlignment="1">
      <x:alignment wrapText="1"/>
    </x:xf>
    <x:xf numFmtId="0" fontId="7" fillId="12" borderId="7" xfId="0" applyNumberFormat="1" applyFont="1" applyFill="1" applyBorder="1" applyAlignment="1">
      <x:alignment wrapText="1"/>
    </x:xf>
    <x:xf numFmtId="0" fontId="7" fillId="12" borderId="8" xfId="0" applyNumberFormat="1" applyFont="1" applyFill="1" applyBorder="1" applyAlignment="1">
      <x:alignment wrapText="1"/>
    </x:xf>
    <x:xf numFmtId="0" fontId="7" fillId="12" borderId="9" xfId="0" applyNumberFormat="1" applyFont="1" applyFill="1" applyBorder="1" applyAlignment="1">
      <x:alignment wrapText="1"/>
    </x:xf>
    <x:xf numFmtId="0" fontId="7" fillId="12" borderId="2" xfId="0" applyNumberFormat="1" applyFont="1" applyFill="1" applyBorder="1" applyAlignment="1">
      <x:alignment horizontal="center" wrapText="1"/>
    </x:xf>
    <x:xf numFmtId="0" fontId="7" fillId="12" borderId="3" xfId="0" applyNumberFormat="1" applyFont="1" applyFill="1" applyBorder="1" applyAlignment="1">
      <x:alignment horizontal="center" wrapText="1"/>
    </x:xf>
    <x:xf numFmtId="0" fontId="7" fillId="12" borderId="4" xfId="0" applyNumberFormat="1" applyFont="1" applyFill="1" applyBorder="1" applyAlignment="1">
      <x:alignment horizontal="center" wrapText="1"/>
    </x:xf>
    <x:xf numFmtId="0" fontId="7" fillId="12" borderId="7" xfId="0" applyNumberFormat="1" applyFont="1" applyFill="1" applyBorder="1" applyAlignment="1">
      <x:alignment horizontal="center" wrapText="1"/>
    </x:xf>
    <x:xf numFmtId="0" fontId="7" fillId="12" borderId="8" xfId="0" applyNumberFormat="1" applyFont="1" applyFill="1" applyBorder="1" applyAlignment="1">
      <x:alignment horizontal="center" wrapText="1"/>
    </x:xf>
    <x:xf numFmtId="0" fontId="7" fillId="12" borderId="9" xfId="0" applyNumberFormat="1" applyFont="1" applyFill="1" applyBorder="1" applyAlignment="1">
      <x:alignment horizontal="center" wrapText="1"/>
    </x:xf>
    <x:xf numFmtId="0" fontId="7" fillId="12" borderId="2" xfId="0" applyNumberFormat="1" applyFont="1" applyFill="1" applyBorder="1" applyAlignment="1">
      <x:alignment horizontal="center" vertical="center" wrapText="1"/>
    </x:xf>
    <x:xf numFmtId="0" fontId="7" fillId="12" borderId="3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horizontal="center" vertical="center" wrapText="1"/>
    </x:xf>
    <x:xf numFmtId="0" fontId="7" fillId="12" borderId="7" xfId="0" applyNumberFormat="1" applyFont="1" applyFill="1" applyBorder="1" applyAlignment="1">
      <x:alignment horizontal="center" vertical="center" wrapText="1"/>
    </x:xf>
    <x:xf numFmtId="0" fontId="7" fillId="12" borderId="8" xfId="0" applyNumberFormat="1" applyFont="1" applyFill="1" applyBorder="1" applyAlignment="1">
      <x:alignment horizontal="center" vertical="center" wrapText="1"/>
    </x:xf>
    <x:xf numFmtId="0" fontId="7" fillId="12" borderId="9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7" fillId="12" borderId="1" xfId="0" applyNumberFormat="1" applyFont="1" applyFill="1" applyBorder="1"/>
    <x:xf numFmtId="0" fontId="7" fillId="12" borderId="10" xfId="0" applyNumberFormat="1" applyFont="1" applyFill="1" applyBorder="1"/>
    <x:xf numFmtId="0" fontId="7" fillId="12" borderId="11" xfId="0" applyNumberFormat="1" applyFont="1" applyFill="1" applyBorder="1"/>
    <x:xf numFmtId="0" fontId="7" fillId="12" borderId="12" xfId="0" applyNumberFormat="1" applyFont="1" applyFill="1" applyBorder="1"/>
    <x:xf numFmtId="0" fontId="7" fillId="12" borderId="15" xfId="0" applyNumberFormat="1" applyFont="1" applyFill="1" applyBorder="1"/>
    <x:xf numFmtId="0" fontId="7" fillId="12" borderId="16" xfId="0" applyNumberFormat="1" applyFont="1" applyFill="1" applyBorder="1"/>
    <x:xf numFmtId="0" fontId="7" fillId="12" borderId="17" xfId="0" applyNumberFormat="1" applyFont="1" applyFill="1" applyBorder="1"/>
    <x:xf numFmtId="0" fontId="7" fillId="12" borderId="10" xfId="0" applyNumberFormat="1" applyFont="1" applyFill="1" applyBorder="1" applyAlignment="1">
      <x:alignment wrapText="1"/>
    </x:xf>
    <x:xf numFmtId="0" fontId="7" fillId="12" borderId="11" xfId="0" applyNumberFormat="1" applyFont="1" applyFill="1" applyBorder="1" applyAlignment="1">
      <x:alignment wrapText="1"/>
    </x:xf>
    <x:xf numFmtId="0" fontId="7" fillId="12" borderId="12" xfId="0" applyNumberFormat="1" applyFont="1" applyFill="1" applyBorder="1" applyAlignment="1">
      <x:alignment wrapText="1"/>
    </x:xf>
    <x:xf numFmtId="0" fontId="7" fillId="12" borderId="15" xfId="0" applyNumberFormat="1" applyFont="1" applyFill="1" applyBorder="1" applyAlignment="1">
      <x:alignment wrapText="1"/>
    </x:xf>
    <x:xf numFmtId="0" fontId="7" fillId="12" borderId="16" xfId="0" applyNumberFormat="1" applyFont="1" applyFill="1" applyBorder="1" applyAlignment="1">
      <x:alignment wrapText="1"/>
    </x:xf>
    <x:xf numFmtId="0" fontId="7" fillId="12" borderId="17" xfId="0" applyNumberFormat="1" applyFont="1" applyFill="1" applyBorder="1" applyAlignment="1">
      <x:alignment wrapText="1"/>
    </x:xf>
    <x:xf numFmtId="0" fontId="7" fillId="12" borderId="10" xfId="0" applyNumberFormat="1" applyFont="1" applyFill="1" applyBorder="1" applyAlignment="1">
      <x:alignment horizontal="center" wrapText="1"/>
    </x:xf>
    <x:xf numFmtId="0" fontId="7" fillId="12" borderId="11" xfId="0" applyNumberFormat="1" applyFont="1" applyFill="1" applyBorder="1" applyAlignment="1">
      <x:alignment horizontal="center" wrapText="1"/>
    </x:xf>
    <x:xf numFmtId="0" fontId="7" fillId="12" borderId="12" xfId="0" applyNumberFormat="1" applyFont="1" applyFill="1" applyBorder="1" applyAlignment="1">
      <x:alignment horizontal="center" wrapText="1"/>
    </x:xf>
    <x:xf numFmtId="0" fontId="7" fillId="12" borderId="15" xfId="0" applyNumberFormat="1" applyFont="1" applyFill="1" applyBorder="1" applyAlignment="1">
      <x:alignment horizontal="center" wrapText="1"/>
    </x:xf>
    <x:xf numFmtId="0" fontId="7" fillId="12" borderId="16" xfId="0" applyNumberFormat="1" applyFont="1" applyFill="1" applyBorder="1" applyAlignment="1">
      <x:alignment horizontal="center" wrapText="1"/>
    </x:xf>
    <x:xf numFmtId="0" fontId="7" fillId="12" borderId="17" xfId="0" applyNumberFormat="1" applyFont="1" applyFill="1" applyBorder="1" applyAlignment="1">
      <x:alignment horizontal="center" wrapText="1"/>
    </x:xf>
    <x:xf numFmtId="0" fontId="7" fillId="12" borderId="10" xfId="0" applyNumberFormat="1" applyFont="1" applyFill="1" applyBorder="1" applyAlignment="1">
      <x:alignment horizontal="center" vertical="center" wrapText="1"/>
    </x:xf>
    <x:xf numFmtId="0" fontId="7" fillId="12" borderId="11" xfId="0" applyNumberFormat="1" applyFont="1" applyFill="1" applyBorder="1" applyAlignment="1">
      <x:alignment horizontal="center" vertical="center" wrapText="1"/>
    </x:xf>
    <x:xf numFmtId="0" fontId="7" fillId="12" borderId="12" xfId="0" applyNumberFormat="1" applyFont="1" applyFill="1" applyBorder="1" applyAlignment="1">
      <x:alignment horizontal="center" vertical="center" wrapText="1"/>
    </x:xf>
    <x:xf numFmtId="0" fontId="7" fillId="12" borderId="15" xfId="0" applyNumberFormat="1" applyFont="1" applyFill="1" applyBorder="1" applyAlignment="1">
      <x:alignment horizontal="center" vertical="center" wrapText="1"/>
    </x:xf>
    <x:xf numFmtId="0" fontId="7" fillId="12" borderId="16" xfId="0" applyNumberFormat="1" applyFont="1" applyFill="1" applyBorder="1" applyAlignment="1">
      <x:alignment horizontal="center" vertical="center" wrapText="1"/>
    </x:xf>
    <x:xf numFmtId="0" fontId="7" fillId="12" borderId="17" xfId="0" applyNumberFormat="1" applyFont="1" applyFill="1" applyBorder="1" applyAlignment="1">
      <x:alignment horizontal="center" vertical="center" wrapText="1"/>
    </x:xf>
    <x:xf numFmtId="0" fontId="0" fillId="12" borderId="2" xfId="0" applyNumberFormat="1" applyFont="1" applyFill="1" applyBorder="1"/>
    <x:xf numFmtId="0" fontId="0" fillId="12" borderId="3" xfId="0" applyNumberFormat="1" applyFont="1" applyFill="1" applyBorder="1"/>
    <x:xf numFmtId="0" fontId="0" fillId="12" borderId="4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2" fillId="12" borderId="4" xfId="0" applyNumberFormat="1" applyFont="1" applyFill="1" applyBorder="1"/>
    <x:xf numFmtId="0" fontId="2" fillId="12" borderId="18" xfId="0" applyNumberFormat="1" applyFont="1" applyFill="1" applyBorder="1"/>
    <x:xf numFmtId="0" fontId="2" fillId="12" borderId="19" xfId="0" applyNumberFormat="1" applyFont="1" applyFill="1" applyBorder="1"/>
    <x:xf numFmtId="0" fontId="2" fillId="12" borderId="20" xfId="0" applyNumberFormat="1" applyFont="1" applyFill="1" applyBorder="1"/>
    <x:xf numFmtId="0" fontId="2" fillId="12" borderId="18" xfId="0" applyNumberFormat="1" applyFont="1" applyFill="1" applyBorder="1" applyAlignment="1">
      <x:alignment wrapText="1"/>
    </x:xf>
    <x:xf numFmtId="0" fontId="2" fillId="12" borderId="19" xfId="0" applyNumberFormat="1" applyFont="1" applyFill="1" applyBorder="1" applyAlignment="1">
      <x:alignment wrapText="1"/>
    </x:xf>
    <x:xf numFmtId="0" fontId="2" fillId="12" borderId="20" xfId="0" applyNumberFormat="1" applyFont="1" applyFill="1" applyBorder="1" applyAlignment="1">
      <x:alignment wrapText="1"/>
    </x:xf>
    <x:xf numFmtId="0" fontId="2" fillId="12" borderId="18" xfId="0" applyNumberFormat="1" applyFont="1" applyFill="1" applyBorder="1" applyAlignment="1">
      <x:alignment horizontal="center" wrapText="1"/>
    </x:xf>
    <x:xf numFmtId="0" fontId="2" fillId="12" borderId="19" xfId="0" applyNumberFormat="1" applyFont="1" applyFill="1" applyBorder="1" applyAlignment="1">
      <x:alignment horizontal="center" wrapText="1"/>
    </x:xf>
    <x:xf numFmtId="0" fontId="2" fillId="12" borderId="20" xfId="0" applyNumberFormat="1" applyFont="1" applyFill="1" applyBorder="1" applyAlignment="1">
      <x:alignment horizontal="center" wrapText="1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2" fillId="12" borderId="19" xfId="0" applyNumberFormat="1" applyFont="1" applyFill="1" applyBorder="1" applyAlignment="1">
      <x:alignment horizontal="center" vertical="center" wrapText="1"/>
    </x:xf>
    <x:xf numFmtId="0" fontId="2" fillId="12" borderId="2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398d09e1a4197" /><Relationship Type="http://schemas.openxmlformats.org/officeDocument/2006/relationships/theme" Target="/xl/theme/theme1.xml" Id="R169c275c6149463d" /><Relationship Type="http://schemas.openxmlformats.org/officeDocument/2006/relationships/sharedStrings" Target="/xl/sharedStrings.xml" Id="R65142431263049e7" /><Relationship Type="http://schemas.openxmlformats.org/officeDocument/2006/relationships/worksheet" Target="/xl/worksheets/sheet1.xml" Id="R030d028ee7ca4b3e" /><Relationship Type="http://schemas.openxmlformats.org/officeDocument/2006/relationships/worksheet" Target="/xl/worksheets/sheet2.xml" Id="Raf701aeecefc4789" /><Relationship Type="http://schemas.openxmlformats.org/officeDocument/2006/relationships/worksheet" Target="/xl/worksheets/sheet3.xml" Id="R850af3f65f834592" /><Relationship Type="http://schemas.openxmlformats.org/officeDocument/2006/relationships/worksheet" Target="/xl/worksheets/sheet4.xml" Id="R4007814f26284910" /><Relationship Type="http://schemas.openxmlformats.org/officeDocument/2006/relationships/worksheet" Target="/xl/worksheets/sheet5.xml" Id="R5809d39f8be3433e" /><Relationship Type="http://schemas.openxmlformats.org/officeDocument/2006/relationships/worksheet" Target="/xl/worksheets/sheet6.xml" Id="R86d4f00d1e0c41e4" /><Relationship Type="http://schemas.openxmlformats.org/officeDocument/2006/relationships/worksheet" Target="/xl/worksheets/sheet7.xml" Id="R0ae282e36a50483d" /><Relationship Type="http://schemas.openxmlformats.org/officeDocument/2006/relationships/worksheet" Target="/xl/worksheets/sheet8.xml" Id="Rad71ed8caebf4a14" /><Relationship Type="http://schemas.openxmlformats.org/officeDocument/2006/relationships/worksheet" Target="/xl/worksheets/sheet9.xml" Id="Re06b9529558f40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b0fe018452a4a89" /><Relationship Type="http://schemas.openxmlformats.org/officeDocument/2006/relationships/chart" Target="/xl/drawings/charts/chart1.xml" Id="Rf9daa0fe125345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77fd26b0dbd489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2e20de987156412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b9d510829a8f4b4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00ceb5afd2194bcb" /><Relationship Type="http://schemas.openxmlformats.org/officeDocument/2006/relationships/chart" Target="/xl/drawings/charts/chart2.xml" Id="R7efcc13842704ec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96bf95a81af743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Oven result overview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'00_요약'!$H$14:$H$16</c:f>
              <c:strCache>
                <c:ptCount val="0"/>
              </c:strCache>
            </c:strRef>
          </c:cat>
          <c:val>
            <c:numRef>
              <c:f>'00_요약'!$I$14:$I$16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'00_요약'!$H$14:$H$16</c:f>
              <c:strCache>
                <c:ptCount val="0"/>
              </c:strCache>
            </c:strRef>
          </c:cat>
          <c:val>
            <c:numRef>
              <c:f>'00_요약'!$J$14:$J$16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'00_요약'!$H$14:$H$16</c:f>
              <c:strCache>
                <c:ptCount val="0"/>
              </c:strCache>
            </c:strRef>
          </c:cat>
          <c:val>
            <c:numRef>
              <c:f>'00_요약'!$K$14:$K$16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'00_요약'!$H$14:$H$16</c:f>
              <c:strCache>
                <c:ptCount val="0"/>
              </c:strCache>
            </c:strRef>
          </c:cat>
          <c:val>
            <c:numRef>
              <c:f>'00_요약'!$L$14:$L$16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vs cost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₩/ea</c:v>
          </c:tx>
          <c:marker>
            <c:symbol val="none"/>
          </c:marker>
          <c:cat>
            <c:strRef>
              <c:f>'판매_토핑'!$F$8:$F$13</c:f>
              <c:strCache>
                <c:ptCount val="0"/>
              </c:strCache>
            </c:strRef>
          </c:cat>
          <c:val>
            <c:numRef>
              <c:f>'판매_토핑'!$G$8:$G$13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₩/ea</c:v>
          </c:tx>
          <c:marker>
            <c:symbol val="none"/>
          </c:marker>
          <c:cat>
            <c:strRef>
              <c:f>'판매_토핑'!$F$8:$F$13</c:f>
              <c:strCache>
                <c:ptCount val="0"/>
              </c:strCache>
            </c:strRef>
          </c:cat>
          <c:val>
            <c:numRef>
              <c:f>'판매_토핑'!$H$8:$H$13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%</c:v>
          </c:tx>
          <c:marker>
            <c:symbol val="none"/>
          </c:marker>
          <c:cat>
            <c:strRef>
              <c:f>'판매_토핑'!$F$8:$F$13</c:f>
              <c:strCache>
                <c:ptCount val="0"/>
              </c:strCache>
            </c:strRef>
          </c:cat>
          <c:val>
            <c:numRef>
              <c:f>'판매_토핑'!$I$8:$I$13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%</c:v>
          </c:tx>
          <c:marker>
            <c:symbol val="none"/>
          </c:marker>
          <c:cat>
            <c:strRef>
              <c:f>'판매_토핑'!$F$8:$F$13</c:f>
              <c:strCache>
                <c:ptCount val="0"/>
              </c:strCache>
            </c:strRef>
          </c:cat>
          <c:val>
            <c:numRef>
              <c:f>'판매_토핑'!$J$8:$J$13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19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daa0fe12534551"/>
        </a:graphicData>
      </a:graphic>
    </xdr:graphicFrame>
    <xdr:clientData/>
  </xdr:twoCellAnchor>
  <xdr:oneCellAnchor>
    <xdr:from>
      <xdr:col>16</xdr:col>
      <xdr:colOff>0</xdr:colOff>
      <xdr:row>13</xdr:row>
      <xdr:rowOff>0</xdr:rowOff>
    </xdr:from>
    <xdr:ext cx="2857500" cy="1333500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0fe018452a4a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20</xdr:col>
      <xdr:colOff>0</xdr:colOff>
      <xdr:row>14</xdr:row>
      <xdr:rowOff>0</xdr:rowOff>
    </xdr:from>
    <xdr:ext cx="2381250" cy="11430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7fd26b0dbd48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20</xdr:col>
      <xdr:colOff>0</xdr:colOff>
      <xdr:row>12</xdr:row>
      <xdr:rowOff>0</xdr:rowOff>
    </xdr:from>
    <xdr:ext cx="2286000" cy="104775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20de98715641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20</xdr:col>
      <xdr:colOff>0</xdr:colOff>
      <xdr:row>12</xdr:row>
      <xdr:rowOff>0</xdr:rowOff>
    </xdr:from>
    <xdr:ext cx="2286000" cy="104775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d510829a8f4b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fcc13842704ecf"/>
        </a:graphicData>
      </a:graphic>
    </xdr:graphicFrame>
    <xdr:clientData/>
  </xdr:twoCellAnchor>
  <xdr:oneCellAnchor>
    <xdr:from>
      <xdr:col>17</xdr:col>
      <xdr:colOff>0</xdr:colOff>
      <xdr:row>5</xdr:row>
      <xdr:rowOff>0</xdr:rowOff>
    </xdr:from>
    <xdr:ext cx="2381250" cy="1095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ceb5afd2194b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3</xdr:col>
      <xdr:colOff>0</xdr:colOff>
      <xdr:row>5</xdr:row>
      <xdr:rowOff>0</xdr:rowOff>
    </xdr:from>
    <xdr:ext cx="3429000" cy="1571625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bf95a81af743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d6a7b21d8c44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a3f9b7e3c8f4f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29ef19d99c5b43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70277f84d1b44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f868f13c0ace44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8b1d1070a731462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H3" s="6" t="str">
        <x:v>올리브 휘낭시에 — 실험 종합 / Olive FINANCIER</x:v>
      </x:c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</x:row>
    <x:row r="4"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6">
      <x:c r="H6" s="29" t="str">
        <x:v>Recipe</x:v>
      </x:c>
      <x:c r="I6" s="30" t="str">
        <x:v>올리브</x:v>
      </x:c>
      <x:c r="J6" s="30" t="str">
        <x:v>ver.</x:v>
      </x:c>
      <x:c r="K6" s="30" t="str">
        <x:v>rev.C</x:v>
      </x:c>
      <x:c r="L6" s="31"/>
    </x:row>
    <x:row r="7">
      <x:c r="H7" s="32" t="str">
        <x:v>실험기간</x:v>
      </x:c>
      <x:c r="I7" s="33" t="str">
        <x:v>2026-08~09</x:v>
      </x:c>
      <x:c r="J7" s="33" t="str">
        <x:v>n</x:v>
      </x:c>
      <x:c r="K7" s="33" t="str">
        <x:v>3~5</x:v>
      </x:c>
      <x:c r="L7" s="34"/>
      <x:c r="N7" s="85" t="str">
        <x:v>메모 / sticky note
• oven 실제편차 ±3℃ 추정
• 일부 사진은 다른 batch reference
• '부풀기' 측정 기준이 사람마다 약간 다름
• 색 진함/굵은 글씨 = 중요 표시</x:v>
      </x:c>
      <x:c r="O7" s="86"/>
      <x:c r="P7" s="86"/>
      <x:c r="Q7" s="86"/>
      <x:c r="R7" s="86"/>
      <x:c r="S7" s="86"/>
      <x:c r="T7" s="87"/>
    </x:row>
    <x:row r="8">
      <x:c r="H8" s="32" t="str">
        <x:v>주요변수</x:v>
      </x:c>
      <x:c r="I8" s="33" t="str">
        <x:v>oven/temp/add-in</x:v>
      </x:c>
      <x:c r="J8" s="33" t="str">
        <x:v>판정</x:v>
      </x:c>
      <x:c r="K8" s="33" t="str">
        <x:v>core temp + rise</x:v>
      </x:c>
      <x:c r="L8" s="34"/>
      <x:c r="N8" s="88"/>
      <x:c r="O8" s="89"/>
      <x:c r="P8" s="89"/>
      <x:c r="Q8" s="89"/>
      <x:c r="R8" s="89"/>
      <x:c r="S8" s="89"/>
      <x:c r="T8" s="90"/>
    </x:row>
    <x:row r="9">
      <x:c r="H9" s="32" t="str">
        <x:v>기록상태</x:v>
      </x:c>
      <x:c r="I9" s="33" t="str">
        <x:v>수기+사진+수식</x:v>
      </x:c>
      <x:c r="J9" s="33" t="str">
        <x:v>memo</x:v>
      </x:c>
      <x:c r="K9" s="33" t="str">
        <x:v>영/한/기호 혼용</x:v>
      </x:c>
      <x:c r="L9" s="34"/>
      <x:c r="N9" s="88"/>
      <x:c r="O9" s="89"/>
      <x:c r="P9" s="89"/>
      <x:c r="Q9" s="89"/>
      <x:c r="R9" s="89"/>
      <x:c r="S9" s="89"/>
      <x:c r="T9" s="90"/>
    </x:row>
    <x:row r="10">
      <x:c r="H10" s="32" t="str">
        <x:v>중요</x:v>
      </x:c>
      <x:c r="I10" s="33" t="str">
        <x:v>색상도 의미 있음</x:v>
      </x:c>
      <x:c r="J10" s="33" t="str">
        <x:v>주의</x:v>
      </x:c>
      <x:c r="K10" s="33" t="str">
        <x:v>일부 셀은 계산값</x:v>
      </x:c>
      <x:c r="L10" s="34"/>
      <x:c r="N10" s="88"/>
      <x:c r="O10" s="89"/>
      <x:c r="P10" s="89"/>
      <x:c r="Q10" s="89"/>
      <x:c r="R10" s="89"/>
      <x:c r="S10" s="89"/>
      <x:c r="T10" s="90"/>
    </x:row>
    <x:row r="11">
      <x:c r="H11" s="35" t="str">
        <x:v>파일 메모</x:v>
      </x:c>
      <x:c r="I11" s="36" t="str">
        <x:v>형식 통일 안 함</x:v>
      </x:c>
      <x:c r="J11" s="36" t="str">
        <x:v>owner</x:v>
      </x:c>
      <x:c r="K11" s="36" t="str">
        <x:v>QA-B</x:v>
      </x:c>
      <x:c r="L11" s="37"/>
      <x:c r="N11" s="88"/>
      <x:c r="O11" s="89"/>
      <x:c r="P11" s="89"/>
      <x:c r="Q11" s="89"/>
      <x:c r="R11" s="89"/>
      <x:c r="S11" s="89"/>
      <x:c r="T11" s="90"/>
    </x:row>
    <x:row r="12">
      <x:c r="N12" s="88"/>
      <x:c r="O12" s="89"/>
      <x:c r="P12" s="89"/>
      <x:c r="Q12" s="89"/>
      <x:c r="R12" s="89"/>
      <x:c r="S12" s="89"/>
      <x:c r="T12" s="90"/>
    </x:row>
    <x:row r="13">
      <x:c r="N13" s="91"/>
      <x:c r="O13" s="92"/>
      <x:c r="P13" s="92"/>
      <x:c r="Q13" s="92"/>
      <x:c r="R13" s="92"/>
      <x:c r="S13" s="92"/>
      <x:c r="T13" s="93"/>
    </x:row>
    <x:row r="14">
      <x:c r="H14" s="58" t="str">
        <x:v>metric</x:v>
      </x:c>
      <x:c r="I14" s="59" t="n">
        <x:v>180</x:v>
      </x:c>
      <x:c r="J14" s="59" t="n">
        <x:v>190</x:v>
      </x:c>
      <x:c r="K14" s="59" t="n">
        <x:v>200</x:v>
      </x:c>
      <x:c r="L14" s="60" t="n">
        <x:v>210</x:v>
      </x:c>
    </x:row>
    <x:row r="15">
      <x:c r="H15" s="12" t="str">
        <x:v>core max(℃)</x:v>
      </x:c>
      <x:c r="I15" s="13" t="n">
        <x:v>92.7</x:v>
      </x:c>
      <x:c r="J15" s="13" t="n">
        <x:v>94.6</x:v>
      </x:c>
      <x:c r="K15" s="13" t="n">
        <x:v>97</x:v>
      </x:c>
      <x:c r="L15" s="14" t="n">
        <x:v>98.2</x:v>
      </x:c>
    </x:row>
    <x:row r="16">
      <x:c r="H16" s="15" t="str">
        <x:v>rise mm</x:v>
      </x:c>
      <x:c r="I16" s="16" t="n">
        <x:v>9.6</x:v>
      </x:c>
      <x:c r="J16" s="16" t="n">
        <x:v>11.9</x:v>
      </x:c>
      <x:c r="K16" s="16" t="n">
        <x:v>12.7</x:v>
      </x:c>
      <x:c r="L16" s="17" t="n">
        <x:v>14.3</x:v>
      </x:c>
    </x:row>
    <x:row r="17">
      <x:c r="H17" s="18" t="str">
        <x:v>crack%</x:v>
      </x:c>
      <x:c r="I17" s="19" t="n">
        <x:v>2</x:v>
      </x:c>
      <x:c r="J17" s="19" t="n">
        <x:v>6.2</x:v>
      </x:c>
      <x:c r="K17" s="19" t="n">
        <x:v>13.7</x:v>
      </x:c>
      <x:c r="L17" s="20" t="n">
        <x:v>20.9</x:v>
      </x:c>
    </x:row>
  </x:sheetData>
  <x:mergeCells>
    <x:mergeCell ref="H3:T4"/>
    <x:mergeCell ref="N7:T13"/>
  </x:mergeCells>
  <x:pageMargins left="0.7" right="0.7" top="0.75" bottom="0.75" header="0.3" footer="0.3"/>
  <x:drawing xmlns:r="http://schemas.openxmlformats.org/officeDocument/2006/relationships" r:id="Refd6a7b21d8c44a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4">
      <x:c r="J4" s="116" t="str">
        <x:v>올리브 재료/원가 기록  COST??</x:v>
      </x:c>
      <x:c r="K4" s="116"/>
      <x:c r="L4" s="116"/>
      <x:c r="M4" s="116"/>
      <x:c r="N4" s="116"/>
      <x:c r="O4" s="116"/>
      <x:c r="P4" s="116"/>
      <x:c r="Q4" s="116"/>
      <x:c r="R4" s="116"/>
    </x:row>
    <x:row r="5">
      <x:c r="J5" s="116"/>
      <x:c r="K5" s="116"/>
      <x:c r="L5" s="116"/>
      <x:c r="M5" s="116"/>
      <x:c r="N5" s="116"/>
      <x:c r="O5" s="116"/>
      <x:c r="P5" s="116"/>
      <x:c r="Q5" s="116"/>
      <x:c r="R5" s="116"/>
    </x:row>
    <x:row r="6">
      <x:c r="J6" s="132" t="str">
        <x:v>ITEM</x:v>
      </x:c>
      <x:c r="K6" s="133" t="str">
        <x:v>설명</x:v>
      </x:c>
      <x:c r="L6" s="133" t="str">
        <x:v>양</x:v>
      </x:c>
      <x:c r="M6" s="133" t="str">
        <x:v>단위</x:v>
      </x:c>
      <x:c r="N6" s="133" t="str">
        <x:v>price ₩</x:v>
      </x:c>
      <x:c r="O6" s="133" t="str">
        <x:v>cost</x:v>
      </x:c>
      <x:c r="P6" s="133" t="str">
        <x:v>비중</x:v>
      </x:c>
      <x:c r="Q6" s="133" t="str">
        <x:v>vendor</x:v>
      </x:c>
      <x:c r="R6" s="134" t="str">
        <x:v>comment</x:v>
      </x:c>
    </x:row>
    <x:row r="7">
      <x:c r="J7" s="12" t="str">
        <x:v>버터</x:v>
      </x:c>
      <x:c r="K7" s="13" t="str">
        <x:v>Butter</x:v>
      </x:c>
      <x:c r="L7" s="13" t="n">
        <x:v>108</x:v>
      </x:c>
      <x:c r="M7" s="13" t="str">
        <x:v>g</x:v>
      </x:c>
      <x:c r="N7" s="13" t="n">
        <x:v>12.8</x:v>
      </x:c>
      <x:c r="O7" s="13" t="n">
        <x:v>1382.4</x:v>
      </x:c>
      <x:c r="P7" s="13" t="n">
        <x:f>ROUND(O7/SUM($O$7:$O$14)*100,2)</x:f>
        <x:v>27.42</x:v>
      </x:c>
      <x:c r="Q7" s="13" t="str">
        <x:v>ImportHub</x:v>
      </x:c>
      <x:c r="R7" s="14" t="str">
        <x:v>가격변동</x:v>
      </x:c>
    </x:row>
    <x:row r="8">
      <x:c r="J8" s="15" t="str">
        <x:v>EVOO</x:v>
      </x:c>
      <x:c r="K8" s="16" t="str">
        <x:v>엑스트라버진</x:v>
      </x:c>
      <x:c r="L8" s="16" t="n">
        <x:v>18</x:v>
      </x:c>
      <x:c r="M8" s="16" t="str">
        <x:v>g</x:v>
      </x:c>
      <x:c r="N8" s="16" t="n">
        <x:v>20</x:v>
      </x:c>
      <x:c r="O8" s="75" t="n">
        <x:v>360</x:v>
      </x:c>
      <x:c r="P8" s="75" t="n">
        <x:f>ROUND(O8/SUM($O$7:$O$14)*100,2)</x:f>
        <x:v>7.14</x:v>
      </x:c>
      <x:c r="Q8" s="16" t="str">
        <x:v>ImportHub</x:v>
      </x:c>
      <x:c r="R8" s="17" t="str">
        <x:v>냉장</x:v>
      </x:c>
    </x:row>
    <x:row r="9">
      <x:c r="J9" s="15" t="str">
        <x:v>아몬드</x:v>
      </x:c>
      <x:c r="K9" s="16" t="str">
        <x:v>Almond powder</x:v>
      </x:c>
      <x:c r="L9" s="16" t="n">
        <x:v>94</x:v>
      </x:c>
      <x:c r="M9" s="16" t="str">
        <x:v>g</x:v>
      </x:c>
      <x:c r="N9" s="16" t="n">
        <x:v>18.5</x:v>
      </x:c>
      <x:c r="O9" s="75" t="n">
        <x:v>1739</x:v>
      </x:c>
      <x:c r="P9" s="75" t="n">
        <x:f>ROUND(O9/SUM($O$7:$O$14)*100,2)</x:f>
        <x:v>34.49</x:v>
      </x:c>
      <x:c r="Q9" s="16" t="str">
        <x:v>ImportHub</x:v>
      </x:c>
      <x:c r="R9" s="17" t="str"/>
    </x:row>
    <x:row r="10">
      <x:c r="J10" s="15" t="str">
        <x:v>박력분</x:v>
      </x:c>
      <x:c r="K10" s="16" t="str">
        <x:v>Cake flour</x:v>
      </x:c>
      <x:c r="L10" s="16" t="n">
        <x:v>35</x:v>
      </x:c>
      <x:c r="M10" s="16" t="str">
        <x:v>g</x:v>
      </x:c>
      <x:c r="N10" s="16" t="n">
        <x:v>2.5</x:v>
      </x:c>
      <x:c r="O10" s="75" t="n">
        <x:v>87.5</x:v>
      </x:c>
      <x:c r="P10" s="75" t="n">
        <x:f>ROUND(O10/SUM($O$7:$O$14)*100,2)</x:f>
        <x:v>1.74</x:v>
      </x:c>
      <x:c r="Q10" s="16" t="str">
        <x:v>local</x:v>
      </x:c>
      <x:c r="R10" s="17" t="str">
        <x:v>LOT주의</x:v>
      </x:c>
    </x:row>
    <x:row r="11">
      <x:c r="J11" s="15" t="str">
        <x:v>분당</x:v>
      </x:c>
      <x:c r="K11" s="149" t="str">
        <x:v>Powdered sugar</x:v>
      </x:c>
      <x:c r="L11" s="16" t="n">
        <x:v>100</x:v>
      </x:c>
      <x:c r="M11" s="16" t="str">
        <x:v>g</x:v>
      </x:c>
      <x:c r="N11" s="16" t="n">
        <x:v>4.8</x:v>
      </x:c>
      <x:c r="O11" s="16" t="n">
        <x:v>480</x:v>
      </x:c>
      <x:c r="P11" s="16" t="n">
        <x:f>ROUND(O11/SUM($O$7:$O$14)*100,2)</x:f>
        <x:v>9.52</x:v>
      </x:c>
      <x:c r="Q11" s="16" t="str">
        <x:v>MKT-ING</x:v>
      </x:c>
      <x:c r="R11" s="17" t="str">
        <x:v>냉장</x:v>
      </x:c>
    </x:row>
    <x:row r="12">
      <x:c r="J12" s="15" t="str">
        <x:v>올리브다이스</x:v>
      </x:c>
      <x:c r="K12" s="149" t="str">
        <x:v>Olive dice</x:v>
      </x:c>
      <x:c r="L12" s="16" t="n">
        <x:v>16</x:v>
      </x:c>
      <x:c r="M12" s="16" t="str">
        <x:v>g</x:v>
      </x:c>
      <x:c r="N12" s="16" t="n">
        <x:v>18</x:v>
      </x:c>
      <x:c r="O12" s="16" t="n">
        <x:v>288</x:v>
      </x:c>
      <x:c r="P12" s="16" t="n">
        <x:f>ROUND(O12/SUM($O$7:$O$14)*100,2)</x:f>
        <x:v>5.71</x:v>
      </x:c>
      <x:c r="Q12" s="16" t="str">
        <x:v>MKT-ING</x:v>
      </x:c>
      <x:c r="R12" s="17" t="str">
        <x:v>LOT주의</x:v>
      </x:c>
    </x:row>
    <x:row r="13">
      <x:c r="J13" s="15" t="str">
        <x:v>흰자</x:v>
      </x:c>
      <x:c r="K13" s="16" t="str">
        <x:v>Eggwhite</x:v>
      </x:c>
      <x:c r="L13" s="16" t="n">
        <x:v>128</x:v>
      </x:c>
      <x:c r="M13" s="16" t="str">
        <x:v>g</x:v>
      </x:c>
      <x:c r="N13" s="16" t="n">
        <x:v>5.5</x:v>
      </x:c>
      <x:c r="O13" s="16" t="n">
        <x:v>704</x:v>
      </x:c>
      <x:c r="P13" s="16" t="n">
        <x:f>ROUND(O13/SUM($O$7:$O$14)*100,2)</x:f>
        <x:v>13.96</x:v>
      </x:c>
      <x:c r="Q13" s="16" t="str">
        <x:v>ImportHub</x:v>
      </x:c>
      <x:c r="R13" s="17" t="str">
        <x:v>LOT주의</x:v>
      </x:c>
    </x:row>
    <x:row r="14">
      <x:c r="J14" s="18" t="str">
        <x:v>salt</x:v>
      </x:c>
      <x:c r="K14" s="19" t="str">
        <x:v>소금</x:v>
      </x:c>
      <x:c r="L14" s="19" t="n">
        <x:v>1.2</x:v>
      </x:c>
      <x:c r="M14" s="19" t="str">
        <x:v>g</x:v>
      </x:c>
      <x:c r="N14" s="19" t="n">
        <x:v>1.1</x:v>
      </x:c>
      <x:c r="O14" s="19" t="n">
        <x:v>1.3</x:v>
      </x:c>
      <x:c r="P14" s="19" t="n">
        <x:f>ROUND(O14/SUM($O$7:$O$14)*100,2)</x:f>
        <x:v>0.03</x:v>
      </x:c>
      <x:c r="Q14" s="19" t="str">
        <x:v>MKT-ING</x:v>
      </x:c>
      <x:c r="R14" s="20" t="str"/>
    </x:row>
    <x:row r="17">
      <x:c r="O17" s="12" t="str">
        <x:v>Batch total</x:v>
      </x:c>
      <x:c r="P17" s="14" t="n">
        <x:f>SUM(O7:O14)</x:f>
        <x:v>5042.2</x:v>
      </x:c>
    </x:row>
    <x:row r="18">
      <x:c r="O18" s="15" t="str">
        <x:v>ea cost /12</x:v>
      </x:c>
      <x:c r="P18" s="17" t="n">
        <x:f>ROUND((P17+P19)/12,1)</x:f>
        <x:v>435.2</x:v>
      </x:c>
    </x:row>
    <x:row r="19">
      <x:c r="O19" s="15" t="str">
        <x:v>package</x:v>
      </x:c>
      <x:c r="P19" s="17" t="n">
        <x:v>180</x:v>
      </x:c>
    </x:row>
    <x:row r="20">
      <x:c r="O20" s="18" t="str">
        <x:v>판매가 rough</x:v>
      </x:c>
      <x:c r="P20" s="20" t="n">
        <x:f>ROUND(P18*2.6,-1)</x:f>
        <x:v>1130</x:v>
      </x:c>
    </x:row>
  </x:sheetData>
  <x:mergeCells>
    <x:mergeCell ref="J4:R5"/>
  </x:mergeCells>
  <x:pageMargins left="0.7" right="0.7" top="0.75" bottom="0.75" header="0.3" footer="0.3"/>
  <x:drawing xmlns:r="http://schemas.openxmlformats.org/officeDocument/2006/relationships" r:id="Rba3f9b7e3c8f4f2b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171" t="str">
        <x:v>올리브 / 180°C — 사람 보기용 흩어진 기록</x:v>
      </x:c>
      <x:c r="I3" s="172"/>
      <x:c r="J3" s="172"/>
      <x:c r="K3" s="172"/>
      <x:c r="L3" s="172"/>
      <x:c r="M3" s="172"/>
      <x:c r="N3" s="172"/>
      <x:c r="O3" s="172"/>
      <x:c r="P3" s="172"/>
      <x:c r="Q3" s="172"/>
      <x:c r="R3" s="172"/>
      <x:c r="S3" s="172"/>
      <x:c r="T3" s="17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33"/>
      <x:c r="F4" s="33"/>
      <x:c r="G4" s="33"/>
      <x:c r="H4" s="174"/>
      <x:c r="I4" s="175"/>
      <x:c r="J4" s="175"/>
      <x:c r="K4" s="175"/>
      <x:c r="L4" s="175"/>
      <x:c r="M4" s="175"/>
      <x:c r="N4" s="175"/>
      <x:c r="O4" s="175"/>
      <x:c r="P4" s="175"/>
      <x:c r="Q4" s="175"/>
      <x:c r="R4" s="175"/>
      <x:c r="S4" s="175"/>
      <x:c r="T4" s="176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29" t="str">
        <x:v>setting</x:v>
      </x:c>
      <x:c r="D8" s="30" t="str">
        <x:v>value</x:v>
      </x:c>
      <x:c r="E8" s="30" t="str">
        <x:v>u</x:v>
      </x:c>
      <x:c r="F8" s="30" t="str">
        <x:v>who</x:v>
      </x:c>
      <x:c r="G8" s="31" t="str">
        <x:v>memo</x:v>
      </x:c>
      <x:c r="H8" s="33"/>
      <x:c r="I8" s="33"/>
      <x:c r="J8" s="33"/>
      <x:c r="K8" s="33"/>
      <x:c r="L8" s="33"/>
      <x:c r="M8" s="33"/>
      <x:c r="N8" s="214" t="str">
        <x:v>Time</x:v>
      </x:c>
      <x:c r="O8" s="215" t="str">
        <x:v>condition</x:v>
      </x:c>
      <x:c r="P8" s="215" t="str">
        <x:v>core</x:v>
      </x:c>
      <x:c r="Q8" s="215" t="str">
        <x:v>rise</x:v>
      </x:c>
      <x:c r="R8" s="215" t="str">
        <x:v>loss</x:v>
      </x:c>
      <x:c r="S8" s="215" t="str">
        <x:v>color</x:v>
      </x:c>
      <x:c r="T8" s="215" t="str">
        <x:v>crack</x:v>
      </x:c>
      <x:c r="U8" s="215" t="str">
        <x:v>moist</x:v>
      </x:c>
      <x:c r="V8" s="215" t="str">
        <x:v>photo#</x:v>
      </x:c>
      <x:c r="W8" s="216" t="str">
        <x:v>note</x:v>
      </x:c>
      <x:c r="X8" s="33"/>
      <x:c r="Y8" s="33"/>
      <x:c r="Z8" s="33"/>
    </x:row>
    <x:row r="9">
      <x:c r="A9" s="33"/>
      <x:c r="B9" s="33"/>
      <x:c r="C9" s="32" t="str">
        <x:v>oven</x:v>
      </x:c>
      <x:c r="D9" s="33" t="n">
        <x:v>180</x:v>
      </x:c>
      <x:c r="E9" s="33" t="str">
        <x:v>℃</x:v>
      </x:c>
      <x:c r="F9" s="33" t="str">
        <x:v>K</x:v>
      </x:c>
      <x:c r="G9" s="34" t="str"/>
      <x:c r="H9" s="33"/>
      <x:c r="I9" s="33"/>
      <x:c r="J9" s="33"/>
      <x:c r="K9" s="33"/>
      <x:c r="L9" s="33"/>
      <x:c r="M9" s="33"/>
      <x:c r="N9" s="33" t="str">
        <x:v>min</x:v>
      </x:c>
      <x:c r="O9" s="33" t="str"/>
      <x:c r="P9" s="33" t="str">
        <x:v>°C</x:v>
      </x:c>
      <x:c r="Q9" s="33" t="str">
        <x:v>mm</x:v>
      </x:c>
      <x:c r="R9" s="33" t="str">
        <x:v>%</x:v>
      </x:c>
      <x:c r="S9" s="33" t="str"/>
      <x:c r="T9" s="33" t="str">
        <x:v>Y/N</x:v>
      </x:c>
      <x:c r="U9" s="33" t="str">
        <x:v>score</x:v>
      </x:c>
      <x:c r="V9" s="33" t="str"/>
      <x:c r="W9" s="33" t="str"/>
      <x:c r="X9" s="33"/>
      <x:c r="Y9" s="33"/>
      <x:c r="Z9" s="33"/>
    </x:row>
    <x:row r="10">
      <x:c r="A10" s="33"/>
      <x:c r="B10" s="33"/>
      <x:c r="C10" s="32" t="str">
        <x:v>preheat</x:v>
      </x:c>
      <x:c r="D10" s="33" t="n">
        <x:v>25</x:v>
      </x:c>
      <x:c r="E10" s="33" t="str">
        <x:v>min</x:v>
      </x:c>
      <x:c r="F10" s="33" t="str">
        <x:v>?</x:v>
      </x:c>
      <x:c r="G10" s="34" t="str">
        <x:v>충분히?</x:v>
      </x:c>
      <x:c r="H10" s="33"/>
      <x:c r="I10" s="33"/>
      <x:c r="J10" s="33"/>
      <x:c r="K10" s="33"/>
      <x:c r="L10" s="33"/>
      <x:c r="M10" s="33"/>
      <x:c r="N10" s="29" t="n">
        <x:v>0</x:v>
      </x:c>
      <x:c r="O10" s="30" t="str">
        <x:v>STD</x:v>
      </x:c>
      <x:c r="P10" s="30" t="n">
        <x:v>25.8</x:v>
      </x:c>
      <x:c r="Q10" s="30" t="n">
        <x:v>1.1</x:v>
      </x:c>
      <x:c r="R10" s="30" t="n">
        <x:v>0.1</x:v>
      </x:c>
      <x:c r="S10" s="30" t="str">
        <x:v>gold</x:v>
      </x:c>
      <x:c r="T10" s="30" t="str">
        <x:v>Y</x:v>
      </x:c>
      <x:c r="U10" s="30" t="n">
        <x:v>2.8</x:v>
      </x:c>
      <x:c r="V10" s="30" t="str">
        <x:v>IMG-180-0-0</x:v>
      </x:c>
      <x:c r="W10" s="31" t="str">
        <x:v>memo</x:v>
      </x:c>
      <x:c r="X10" s="33"/>
      <x:c r="Y10" s="33"/>
      <x:c r="Z10" s="33"/>
    </x:row>
    <x:row r="11">
      <x:c r="A11" s="33"/>
      <x:c r="B11" s="33"/>
      <x:c r="C11" s="32" t="str">
        <x:v>room</x:v>
      </x:c>
      <x:c r="D11" s="33" t="n">
        <x:v>24.5</x:v>
      </x:c>
      <x:c r="E11" s="33" t="str">
        <x:v>℃</x:v>
      </x:c>
      <x:c r="F11" s="33" t="str">
        <x:v>JH</x:v>
      </x:c>
      <x:c r="G11" s="34" t="str"/>
      <x:c r="H11" s="33"/>
      <x:c r="I11" s="33"/>
      <x:c r="J11" s="33"/>
      <x:c r="K11" s="33"/>
      <x:c r="L11" s="33"/>
      <x:c r="M11" s="33"/>
      <x:c r="N11" s="32" t="n">
        <x:v>0</x:v>
      </x:c>
      <x:c r="O11" s="33" t="str">
        <x:v>rum</x:v>
      </x:c>
      <x:c r="P11" s="33" t="n">
        <x:v>25.2</x:v>
      </x:c>
      <x:c r="Q11" s="33" t="n">
        <x:v>1.7</x:v>
      </x:c>
      <x:c r="R11" s="33" t="n">
        <x:v>0.2</x:v>
      </x:c>
      <x:c r="S11" s="33" t="str">
        <x:v>pale</x:v>
      </x:c>
      <x:c r="T11" s="33" t="str">
        <x:v>Y</x:v>
      </x:c>
      <x:c r="U11" s="33" t="n">
        <x:v>4.5</x:v>
      </x:c>
      <x:c r="V11" s="33" t="str">
        <x:v>IMG-180-0-1</x:v>
      </x:c>
      <x:c r="W11" s="34" t="str">
        <x:v>memo</x:v>
      </x:c>
      <x:c r="X11" s="33"/>
      <x:c r="Y11" s="33"/>
      <x:c r="Z11" s="33"/>
    </x:row>
    <x:row r="12">
      <x:c r="A12" s="33"/>
      <x:c r="B12" s="33"/>
      <x:c r="C12" s="35" t="str">
        <x:v>mold</x:v>
      </x:c>
      <x:c r="D12" s="36" t="str">
        <x:v>silicone</x:v>
      </x:c>
      <x:c r="E12" s="36" t="str"/>
      <x:c r="F12" s="36" t="str"/>
      <x:c r="G12" s="37" t="str">
        <x:v>12ea</x:v>
      </x:c>
      <x:c r="H12" s="33"/>
      <x:c r="I12" s="33"/>
      <x:c r="J12" s="33"/>
      <x:c r="K12" s="33"/>
      <x:c r="L12" s="33"/>
      <x:c r="M12" s="33"/>
      <x:c r="N12" s="32" t="n">
        <x:v>5</x:v>
      </x:c>
      <x:c r="O12" s="33" t="str">
        <x:v>STD</x:v>
      </x:c>
      <x:c r="P12" s="33" t="n">
        <x:v>43.4</x:v>
      </x:c>
      <x:c r="Q12" s="33" t="n">
        <x:v>3.9</x:v>
      </x:c>
      <x:c r="R12" s="33" t="n">
        <x:v>2.4</x:v>
      </x:c>
      <x:c r="S12" s="33" t="str">
        <x:v>pale</x:v>
      </x:c>
      <x:c r="T12" s="33" t="str">
        <x:v>N</x:v>
      </x:c>
      <x:c r="U12" s="33" t="n">
        <x:v>4.8</x:v>
      </x:c>
      <x:c r="V12" s="33" t="str">
        <x:v>IMG-180-5-0</x:v>
      </x:c>
      <x:c r="W12" s="34" t="str">
        <x:v>memo</x:v>
      </x:c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2" t="n">
        <x:v>5</x:v>
      </x:c>
      <x:c r="O13" s="33" t="str">
        <x:v>rum</x:v>
      </x:c>
      <x:c r="P13" s="33" t="n">
        <x:v>44.1</x:v>
      </x:c>
      <x:c r="Q13" s="33" t="n">
        <x:v>4.2</x:v>
      </x:c>
      <x:c r="R13" s="33" t="n">
        <x:v>2.3</x:v>
      </x:c>
      <x:c r="S13" s="33" t="str">
        <x:v>gold</x:v>
      </x:c>
      <x:c r="T13" s="33" t="str">
        <x:v>N</x:v>
      </x:c>
      <x:c r="U13" s="33" t="n">
        <x:v>3.6</x:v>
      </x:c>
      <x:c r="V13" s="33" t="str">
        <x:v>IMG-180-5-1</x:v>
      </x:c>
      <x:c r="W13" s="34" t="str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2" t="n">
        <x:v>10</x:v>
      </x:c>
      <x:c r="O14" s="33" t="str">
        <x:v>STD</x:v>
      </x:c>
      <x:c r="P14" s="33" t="n">
        <x:v>60.6</x:v>
      </x:c>
      <x:c r="Q14" s="33" t="n">
        <x:v>6.1</x:v>
      </x:c>
      <x:c r="R14" s="33" t="n">
        <x:v>5.5</x:v>
      </x:c>
      <x:c r="S14" s="33" t="str">
        <x:v>olive</x:v>
      </x:c>
      <x:c r="T14" s="33" t="str">
        <x:v>N</x:v>
      </x:c>
      <x:c r="U14" s="33" t="n">
        <x:v>3.8</x:v>
      </x:c>
      <x:c r="V14" s="33" t="str">
        <x:v>IMG-180-10-0</x:v>
      </x:c>
      <x:c r="W14" s="34" t="str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2" t="n">
        <x:v>10</x:v>
      </x:c>
      <x:c r="O15" s="33" t="str">
        <x:v>rum</x:v>
      </x:c>
      <x:c r="P15" s="33" t="n">
        <x:v>61.5</x:v>
      </x:c>
      <x:c r="Q15" s="33" t="n">
        <x:v>6.1</x:v>
      </x:c>
      <x:c r="R15" s="33" t="n">
        <x:v>5.2</x:v>
      </x:c>
      <x:c r="S15" s="33" t="str">
        <x:v>gold</x:v>
      </x:c>
      <x:c r="T15" s="33" t="str">
        <x:v>N</x:v>
      </x:c>
      <x:c r="U15" s="33" t="n">
        <x:v>4.9</x:v>
      </x:c>
      <x:c r="V15" s="33" t="str">
        <x:v>IMG-180-10-1</x:v>
      </x:c>
      <x:c r="W15" s="34" t="str">
        <x:v>memo</x:v>
      </x:c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2" t="n">
        <x:v>10</x:v>
      </x:c>
      <x:c r="O16" s="33" t="str">
        <x:v>sugar coated</x:v>
      </x:c>
      <x:c r="P16" s="33" t="n">
        <x:v>62.6</x:v>
      </x:c>
      <x:c r="Q16" s="33" t="n">
        <x:v>6.7</x:v>
      </x:c>
      <x:c r="R16" s="33" t="n">
        <x:v>5.4</x:v>
      </x:c>
      <x:c r="S16" s="33" t="str">
        <x:v>gold</x:v>
      </x:c>
      <x:c r="T16" s="33" t="str">
        <x:v>Y</x:v>
      </x:c>
      <x:c r="U16" s="33" t="n">
        <x:v>2.6</x:v>
      </x:c>
      <x:c r="V16" s="33" t="str">
        <x:v>IMG-180-10-2</x:v>
      </x:c>
      <x:c r="W16" s="34" t="str">
        <x:v>check</x:v>
      </x:c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2" t="n">
        <x:v>15</x:v>
      </x:c>
      <x:c r="O17" s="33" t="str">
        <x:v>STD</x:v>
      </x:c>
      <x:c r="P17" s="33" t="n">
        <x:v>78.6</x:v>
      </x:c>
      <x:c r="Q17" s="33" t="n">
        <x:v>8.5</x:v>
      </x:c>
      <x:c r="R17" s="33" t="n">
        <x:v>7.6</x:v>
      </x:c>
      <x:c r="S17" s="33" t="str">
        <x:v>pale</x:v>
      </x:c>
      <x:c r="T17" s="33" t="str">
        <x:v>Y</x:v>
      </x:c>
      <x:c r="U17" s="33" t="n">
        <x:v>4.3</x:v>
      </x:c>
      <x:c r="V17" s="33" t="str">
        <x:v>IMG-180-15-0</x:v>
      </x:c>
      <x:c r="W17" s="34" t="str">
        <x:v>memo</x:v>
      </x:c>
      <x:c r="X17" s="33"/>
      <x:c r="Y17" s="33"/>
      <x:c r="Z17" s="33"/>
    </x:row>
    <x:row r="18">
      <x:c r="A18" s="33"/>
      <x:c r="B18" s="241" t="str">
        <x:v>메모
표와 설명이 멀리 떨어져 있음
배경색이 '참고' 의미
실험자가 중간에 포맷을 바꿈</x:v>
      </x:c>
      <x:c r="C18" s="242"/>
      <x:c r="D18" s="242"/>
      <x:c r="E18" s="242"/>
      <x:c r="F18" s="243"/>
      <x:c r="G18" s="33"/>
      <x:c r="H18" s="33"/>
      <x:c r="I18" s="33"/>
      <x:c r="J18" s="33"/>
      <x:c r="K18" s="33"/>
      <x:c r="L18" s="33"/>
      <x:c r="M18" s="33"/>
      <x:c r="N18" s="32" t="n">
        <x:v>15</x:v>
      </x:c>
      <x:c r="O18" s="33" t="str">
        <x:v>rum</x:v>
      </x:c>
      <x:c r="P18" s="33" t="n">
        <x:v>78.8</x:v>
      </x:c>
      <x:c r="Q18" s="33" t="n">
        <x:v>8.7</x:v>
      </x:c>
      <x:c r="R18" s="33" t="n">
        <x:v>8.2</x:v>
      </x:c>
      <x:c r="S18" s="33" t="str">
        <x:v>gold</x:v>
      </x:c>
      <x:c r="T18" s="33" t="str">
        <x:v>N</x:v>
      </x:c>
      <x:c r="U18" s="33" t="n">
        <x:v>4.8</x:v>
      </x:c>
      <x:c r="V18" s="33" t="str">
        <x:v>IMG-180-15-1</x:v>
      </x:c>
      <x:c r="W18" s="34" t="str">
        <x:v>check</x:v>
      </x:c>
      <x:c r="X18" s="33"/>
      <x:c r="Y18" s="33"/>
      <x:c r="Z18" s="33"/>
    </x:row>
    <x:row r="19">
      <x:c r="A19" s="33"/>
      <x:c r="B19" s="244"/>
      <x:c r="C19" s="245"/>
      <x:c r="D19" s="245"/>
      <x:c r="E19" s="245"/>
      <x:c r="F19" s="246"/>
      <x:c r="G19" s="33"/>
      <x:c r="H19" s="33"/>
      <x:c r="I19" s="33"/>
      <x:c r="J19" s="33"/>
      <x:c r="K19" s="33"/>
      <x:c r="L19" s="33"/>
      <x:c r="M19" s="33"/>
      <x:c r="N19" s="32" t="n">
        <x:v>15</x:v>
      </x:c>
      <x:c r="O19" s="33" t="str">
        <x:v>sugar coated</x:v>
      </x:c>
      <x:c r="P19" s="33" t="n">
        <x:v>79.7</x:v>
      </x:c>
      <x:c r="Q19" s="33" t="n">
        <x:v>9.2</x:v>
      </x:c>
      <x:c r="R19" s="33" t="n">
        <x:v>8.1</x:v>
      </x:c>
      <x:c r="S19" s="33" t="str">
        <x:v>olive</x:v>
      </x:c>
      <x:c r="T19" s="33" t="str">
        <x:v>Y</x:v>
      </x:c>
      <x:c r="U19" s="33" t="n">
        <x:v>4.3</x:v>
      </x:c>
      <x:c r="V19" s="33" t="str">
        <x:v>IMG-180-15-2</x:v>
      </x:c>
      <x:c r="W19" s="34" t="str"/>
      <x:c r="X19" s="33"/>
      <x:c r="Y19" s="33"/>
      <x:c r="Z19" s="33"/>
    </x:row>
    <x:row r="20">
      <x:c r="A20" s="33"/>
      <x:c r="B20" s="244"/>
      <x:c r="C20" s="245"/>
      <x:c r="D20" s="245"/>
      <x:c r="E20" s="245"/>
      <x:c r="F20" s="246"/>
      <x:c r="G20" s="33"/>
      <x:c r="H20" s="33"/>
      <x:c r="I20" s="33"/>
      <x:c r="J20" s="33"/>
      <x:c r="K20" s="33"/>
      <x:c r="L20" s="33"/>
      <x:c r="M20" s="33"/>
      <x:c r="N20" s="32" t="n">
        <x:v>20</x:v>
      </x:c>
      <x:c r="O20" s="33" t="str">
        <x:v>STD</x:v>
      </x:c>
      <x:c r="P20" s="33" t="n">
        <x:v>95.8</x:v>
      </x:c>
      <x:c r="Q20" s="33" t="n">
        <x:v>10.7</x:v>
      </x:c>
      <x:c r="R20" s="33" t="n">
        <x:v>10.2</x:v>
      </x:c>
      <x:c r="S20" s="33" t="str">
        <x:v>olive</x:v>
      </x:c>
      <x:c r="T20" s="33" t="str">
        <x:v>Y</x:v>
      </x:c>
      <x:c r="U20" s="33" t="n">
        <x:v>2.6</x:v>
      </x:c>
      <x:c r="V20" s="33" t="str">
        <x:v>IMG-180-20-0</x:v>
      </x:c>
      <x:c r="W20" s="34" t="str">
        <x:v>check</x:v>
      </x:c>
      <x:c r="X20" s="33"/>
      <x:c r="Y20" s="33"/>
      <x:c r="Z20" s="33"/>
    </x:row>
    <x:row r="21">
      <x:c r="A21" s="33"/>
      <x:c r="B21" s="244"/>
      <x:c r="C21" s="245"/>
      <x:c r="D21" s="245"/>
      <x:c r="E21" s="245"/>
      <x:c r="F21" s="246"/>
      <x:c r="G21" s="33"/>
      <x:c r="H21" s="33"/>
      <x:c r="I21" s="33"/>
      <x:c r="J21" s="33"/>
      <x:c r="K21" s="33"/>
      <x:c r="L21" s="33"/>
      <x:c r="M21" s="33"/>
      <x:c r="N21" s="32" t="n">
        <x:v>20</x:v>
      </x:c>
      <x:c r="O21" s="33" t="str">
        <x:v>rum</x:v>
      </x:c>
      <x:c r="P21" s="33" t="n">
        <x:v>96.5</x:v>
      </x:c>
      <x:c r="Q21" s="33" t="n">
        <x:v>11</x:v>
      </x:c>
      <x:c r="R21" s="33" t="n">
        <x:v>10.6</x:v>
      </x:c>
      <x:c r="S21" s="33" t="str">
        <x:v>pale</x:v>
      </x:c>
      <x:c r="T21" s="33" t="str">
        <x:v>Y</x:v>
      </x:c>
      <x:c r="U21" s="33" t="n">
        <x:v>3.7</x:v>
      </x:c>
      <x:c r="V21" s="33" t="str">
        <x:v>IMG-180-20-1</x:v>
      </x:c>
      <x:c r="W21" s="34" t="str">
        <x:v>memo</x:v>
      </x:c>
      <x:c r="X21" s="33"/>
      <x:c r="Y21" s="33"/>
      <x:c r="Z21" s="33"/>
    </x:row>
    <x:row r="22">
      <x:c r="A22" s="33"/>
      <x:c r="B22" s="244"/>
      <x:c r="C22" s="245"/>
      <x:c r="D22" s="245"/>
      <x:c r="E22" s="245"/>
      <x:c r="F22" s="246"/>
      <x:c r="G22" s="33"/>
      <x:c r="H22" s="33"/>
      <x:c r="I22" s="33"/>
      <x:c r="J22" s="33"/>
      <x:c r="K22" s="33"/>
      <x:c r="L22" s="33"/>
      <x:c r="M22" s="33"/>
      <x:c r="N22" s="32" t="n">
        <x:v>20</x:v>
      </x:c>
      <x:c r="O22" s="33" t="str">
        <x:v>sugar coated</x:v>
      </x:c>
      <x:c r="P22" s="33" t="n">
        <x:v>97.9</x:v>
      </x:c>
      <x:c r="Q22" s="33" t="n">
        <x:v>11.1</x:v>
      </x:c>
      <x:c r="R22" s="33" t="n">
        <x:v>10.1</x:v>
      </x:c>
      <x:c r="S22" s="33" t="str">
        <x:v>pale</x:v>
      </x:c>
      <x:c r="T22" s="33" t="str">
        <x:v>N</x:v>
      </x:c>
      <x:c r="U22" s="33" t="n">
        <x:v>4.8</x:v>
      </x:c>
      <x:c r="V22" s="33" t="str">
        <x:v>IMG-180-20-2</x:v>
      </x:c>
      <x:c r="W22" s="34" t="str">
        <x:v>memo</x:v>
      </x:c>
      <x:c r="X22" s="33"/>
      <x:c r="Y22" s="33"/>
      <x:c r="Z22" s="33"/>
    </x:row>
    <x:row r="23">
      <x:c r="A23" s="33"/>
      <x:c r="B23" s="247"/>
      <x:c r="C23" s="248"/>
      <x:c r="D23" s="248"/>
      <x:c r="E23" s="248"/>
      <x:c r="F23" s="249"/>
      <x:c r="G23" s="33"/>
      <x:c r="H23" s="33"/>
      <x:c r="I23" s="33"/>
      <x:c r="J23" s="33"/>
      <x:c r="K23" s="33"/>
      <x:c r="L23" s="33"/>
      <x:c r="M23" s="33"/>
      <x:c r="N23" s="35" t="n">
        <x:v>20</x:v>
      </x:c>
      <x:c r="O23" s="36" t="str">
        <x:v>olive topping</x:v>
      </x:c>
      <x:c r="P23" s="36" t="n">
        <x:v>98</x:v>
      </x:c>
      <x:c r="Q23" s="36" t="n">
        <x:v>11.5</x:v>
      </x:c>
      <x:c r="R23" s="36" t="n">
        <x:v>10.3</x:v>
      </x:c>
      <x:c r="S23" s="36" t="str">
        <x:v>pale</x:v>
      </x:c>
      <x:c r="T23" s="36" t="str">
        <x:v>N</x:v>
      </x:c>
      <x:c r="U23" s="36" t="n">
        <x:v>3.4</x:v>
      </x:c>
      <x:c r="V23" s="36" t="str">
        <x:v>IMG-180-20-3</x:v>
      </x:c>
      <x:c r="W23" s="37" t="str">
        <x:v>check</x:v>
      </x:c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H3:T4"/>
    <x:mergeCell ref="B18:F23"/>
  </x:mergeCells>
  <x:pageMargins left="0.7" right="0.7" top="0.75" bottom="0.75" header="0.3" footer="0.3"/>
  <x:drawing xmlns:r="http://schemas.openxmlformats.org/officeDocument/2006/relationships" r:id="R29ef19d99c5b4379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171" t="str">
        <x:v>올리브 / 190°C — 사람 보기용 흩어진 기록</x:v>
      </x:c>
      <x:c r="I3" s="172"/>
      <x:c r="J3" s="172"/>
      <x:c r="K3" s="172"/>
      <x:c r="L3" s="172"/>
      <x:c r="M3" s="172"/>
      <x:c r="N3" s="172"/>
      <x:c r="O3" s="172"/>
      <x:c r="P3" s="172"/>
      <x:c r="Q3" s="172"/>
      <x:c r="R3" s="172"/>
      <x:c r="S3" s="172"/>
      <x:c r="T3" s="17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33"/>
      <x:c r="F4" s="33"/>
      <x:c r="G4" s="33"/>
      <x:c r="H4" s="174"/>
      <x:c r="I4" s="175"/>
      <x:c r="J4" s="175"/>
      <x:c r="K4" s="175"/>
      <x:c r="L4" s="175"/>
      <x:c r="M4" s="175"/>
      <x:c r="N4" s="175"/>
      <x:c r="O4" s="175"/>
      <x:c r="P4" s="175"/>
      <x:c r="Q4" s="175"/>
      <x:c r="R4" s="175"/>
      <x:c r="S4" s="175"/>
      <x:c r="T4" s="176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29" t="str">
        <x:v>setting</x:v>
      </x:c>
      <x:c r="D8" s="30" t="str">
        <x:v>value</x:v>
      </x:c>
      <x:c r="E8" s="30" t="str">
        <x:v>u</x:v>
      </x:c>
      <x:c r="F8" s="30" t="str">
        <x:v>who</x:v>
      </x:c>
      <x:c r="G8" s="31" t="str">
        <x:v>memo</x:v>
      </x:c>
      <x:c r="H8" s="33"/>
      <x:c r="I8" s="33"/>
      <x:c r="J8" s="33"/>
      <x:c r="K8" s="33"/>
      <x:c r="L8" s="33"/>
      <x:c r="M8" s="33"/>
      <x:c r="N8" s="214" t="str">
        <x:v>Time</x:v>
      </x:c>
      <x:c r="O8" s="215" t="str">
        <x:v>condition</x:v>
      </x:c>
      <x:c r="P8" s="215" t="str">
        <x:v>core</x:v>
      </x:c>
      <x:c r="Q8" s="215" t="str">
        <x:v>rise</x:v>
      </x:c>
      <x:c r="R8" s="215" t="str">
        <x:v>loss</x:v>
      </x:c>
      <x:c r="S8" s="215" t="str">
        <x:v>color</x:v>
      </x:c>
      <x:c r="T8" s="215" t="str">
        <x:v>crack</x:v>
      </x:c>
      <x:c r="U8" s="215" t="str">
        <x:v>moist</x:v>
      </x:c>
      <x:c r="V8" s="215" t="str">
        <x:v>photo#</x:v>
      </x:c>
      <x:c r="W8" s="216" t="str">
        <x:v>note</x:v>
      </x:c>
      <x:c r="X8" s="33"/>
      <x:c r="Y8" s="33"/>
      <x:c r="Z8" s="33"/>
    </x:row>
    <x:row r="9">
      <x:c r="A9" s="33"/>
      <x:c r="B9" s="33"/>
      <x:c r="C9" s="32" t="str">
        <x:v>oven</x:v>
      </x:c>
      <x:c r="D9" s="33" t="n">
        <x:v>190</x:v>
      </x:c>
      <x:c r="E9" s="33" t="str">
        <x:v>℃</x:v>
      </x:c>
      <x:c r="F9" s="33" t="str">
        <x:v>K</x:v>
      </x:c>
      <x:c r="G9" s="34" t="str"/>
      <x:c r="H9" s="33"/>
      <x:c r="I9" s="33"/>
      <x:c r="J9" s="33"/>
      <x:c r="K9" s="33"/>
      <x:c r="L9" s="33"/>
      <x:c r="M9" s="33"/>
      <x:c r="N9" s="33" t="str">
        <x:v>min</x:v>
      </x:c>
      <x:c r="O9" s="33" t="str"/>
      <x:c r="P9" s="33" t="str">
        <x:v>°C</x:v>
      </x:c>
      <x:c r="Q9" s="33" t="str">
        <x:v>mm</x:v>
      </x:c>
      <x:c r="R9" s="33" t="str">
        <x:v>%</x:v>
      </x:c>
      <x:c r="S9" s="33" t="str"/>
      <x:c r="T9" s="33" t="str">
        <x:v>Y/N</x:v>
      </x:c>
      <x:c r="U9" s="33" t="str">
        <x:v>score</x:v>
      </x:c>
      <x:c r="V9" s="33" t="str"/>
      <x:c r="W9" s="33" t="str"/>
      <x:c r="X9" s="33"/>
      <x:c r="Y9" s="33"/>
      <x:c r="Z9" s="33"/>
    </x:row>
    <x:row r="10">
      <x:c r="A10" s="33"/>
      <x:c r="B10" s="33"/>
      <x:c r="C10" s="32" t="str">
        <x:v>preheat</x:v>
      </x:c>
      <x:c r="D10" s="33" t="n">
        <x:v>25</x:v>
      </x:c>
      <x:c r="E10" s="33" t="str">
        <x:v>min</x:v>
      </x:c>
      <x:c r="F10" s="33" t="str">
        <x:v>?</x:v>
      </x:c>
      <x:c r="G10" s="34" t="str">
        <x:v>충분히?</x:v>
      </x:c>
      <x:c r="H10" s="33"/>
      <x:c r="I10" s="33"/>
      <x:c r="J10" s="33"/>
      <x:c r="K10" s="33"/>
      <x:c r="L10" s="33"/>
      <x:c r="M10" s="33"/>
      <x:c r="N10" s="29" t="n">
        <x:v>0</x:v>
      </x:c>
      <x:c r="O10" s="30" t="str">
        <x:v>STD</x:v>
      </x:c>
      <x:c r="P10" s="30" t="n">
        <x:v>27.8</x:v>
      </x:c>
      <x:c r="Q10" s="30" t="n">
        <x:v>1.5</x:v>
      </x:c>
      <x:c r="R10" s="30" t="n">
        <x:v>0.1</x:v>
      </x:c>
      <x:c r="S10" s="30" t="str">
        <x:v>gold</x:v>
      </x:c>
      <x:c r="T10" s="30" t="str">
        <x:v>N</x:v>
      </x:c>
      <x:c r="U10" s="30" t="n">
        <x:v>4.6</x:v>
      </x:c>
      <x:c r="V10" s="30" t="str">
        <x:v>IMG-190-0-0</x:v>
      </x:c>
      <x:c r="W10" s="31" t="str"/>
      <x:c r="X10" s="33"/>
      <x:c r="Y10" s="33"/>
      <x:c r="Z10" s="33"/>
    </x:row>
    <x:row r="11">
      <x:c r="A11" s="33"/>
      <x:c r="B11" s="33"/>
      <x:c r="C11" s="32" t="str">
        <x:v>room</x:v>
      </x:c>
      <x:c r="D11" s="33" t="n">
        <x:v>24.5</x:v>
      </x:c>
      <x:c r="E11" s="33" t="str">
        <x:v>℃</x:v>
      </x:c>
      <x:c r="F11" s="33" t="str">
        <x:v>JH</x:v>
      </x:c>
      <x:c r="G11" s="34" t="str"/>
      <x:c r="H11" s="33"/>
      <x:c r="I11" s="33"/>
      <x:c r="J11" s="33"/>
      <x:c r="K11" s="33"/>
      <x:c r="L11" s="33"/>
      <x:c r="M11" s="33"/>
      <x:c r="N11" s="32" t="n">
        <x:v>0</x:v>
      </x:c>
      <x:c r="O11" s="33" t="str">
        <x:v>rum</x:v>
      </x:c>
      <x:c r="P11" s="33" t="n">
        <x:v>27.7</x:v>
      </x:c>
      <x:c r="Q11" s="33" t="n">
        <x:v>2.2</x:v>
      </x:c>
      <x:c r="R11" s="33" t="n">
        <x:v>0.6</x:v>
      </x:c>
      <x:c r="S11" s="33" t="str">
        <x:v>olive</x:v>
      </x:c>
      <x:c r="T11" s="33" t="str">
        <x:v>Y</x:v>
      </x:c>
      <x:c r="U11" s="33" t="n">
        <x:v>4.9</x:v>
      </x:c>
      <x:c r="V11" s="33" t="str">
        <x:v>IMG-190-0-1</x:v>
      </x:c>
      <x:c r="W11" s="34" t="str">
        <x:v>memo</x:v>
      </x:c>
      <x:c r="X11" s="33"/>
      <x:c r="Y11" s="33"/>
      <x:c r="Z11" s="33"/>
    </x:row>
    <x:row r="12">
      <x:c r="A12" s="33"/>
      <x:c r="B12" s="33"/>
      <x:c r="C12" s="35" t="str">
        <x:v>mold</x:v>
      </x:c>
      <x:c r="D12" s="36" t="str">
        <x:v>silicone</x:v>
      </x:c>
      <x:c r="E12" s="36" t="str"/>
      <x:c r="F12" s="36" t="str"/>
      <x:c r="G12" s="37" t="str">
        <x:v>12ea</x:v>
      </x:c>
      <x:c r="H12" s="33"/>
      <x:c r="I12" s="33"/>
      <x:c r="J12" s="33"/>
      <x:c r="K12" s="33"/>
      <x:c r="L12" s="33"/>
      <x:c r="M12" s="33"/>
      <x:c r="N12" s="32" t="n">
        <x:v>5</x:v>
      </x:c>
      <x:c r="O12" s="33" t="str">
        <x:v>STD</x:v>
      </x:c>
      <x:c r="P12" s="33" t="n">
        <x:v>44.4</x:v>
      </x:c>
      <x:c r="Q12" s="33" t="n">
        <x:v>4.2</x:v>
      </x:c>
      <x:c r="R12" s="33" t="n">
        <x:v>3.2</x:v>
      </x:c>
      <x:c r="S12" s="33" t="str">
        <x:v>olive</x:v>
      </x:c>
      <x:c r="T12" s="33" t="str">
        <x:v>Y</x:v>
      </x:c>
      <x:c r="U12" s="33" t="n">
        <x:v>3.1</x:v>
      </x:c>
      <x:c r="V12" s="33" t="str">
        <x:v>IMG-190-5-0</x:v>
      </x:c>
      <x:c r="W12" s="34" t="str">
        <x:v>check</x:v>
      </x:c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2" t="n">
        <x:v>5</x:v>
      </x:c>
      <x:c r="O13" s="33" t="str">
        <x:v>rum</x:v>
      </x:c>
      <x:c r="P13" s="33" t="n">
        <x:v>45.1</x:v>
      </x:c>
      <x:c r="Q13" s="33" t="n">
        <x:v>4.3</x:v>
      </x:c>
      <x:c r="R13" s="33" t="n">
        <x:v>3.1</x:v>
      </x:c>
      <x:c r="S13" s="33" t="str">
        <x:v>pale</x:v>
      </x:c>
      <x:c r="T13" s="33" t="str">
        <x:v>Y</x:v>
      </x:c>
      <x:c r="U13" s="33" t="n">
        <x:v>3.5</x:v>
      </x:c>
      <x:c r="V13" s="33" t="str">
        <x:v>IMG-190-5-1</x:v>
      </x:c>
      <x:c r="W13" s="34" t="str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2" t="n">
        <x:v>10</x:v>
      </x:c>
      <x:c r="O14" s="33" t="str">
        <x:v>STD</x:v>
      </x:c>
      <x:c r="P14" s="33" t="n">
        <x:v>62.6</x:v>
      </x:c>
      <x:c r="Q14" s="33" t="n">
        <x:v>6.6</x:v>
      </x:c>
      <x:c r="R14" s="33" t="n">
        <x:v>5.8</x:v>
      </x:c>
      <x:c r="S14" s="33" t="str">
        <x:v>gold</x:v>
      </x:c>
      <x:c r="T14" s="33" t="str">
        <x:v>Y</x:v>
      </x:c>
      <x:c r="U14" s="33" t="n">
        <x:v>4.1</x:v>
      </x:c>
      <x:c r="V14" s="33" t="str">
        <x:v>IMG-190-10-0</x:v>
      </x:c>
      <x:c r="W14" s="34" t="str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2" t="n">
        <x:v>10</x:v>
      </x:c>
      <x:c r="O15" s="33" t="str">
        <x:v>rum</x:v>
      </x:c>
      <x:c r="P15" s="33" t="n">
        <x:v>63.3</x:v>
      </x:c>
      <x:c r="Q15" s="33" t="n">
        <x:v>7</x:v>
      </x:c>
      <x:c r="R15" s="33" t="n">
        <x:v>5.3</x:v>
      </x:c>
      <x:c r="S15" s="33" t="str">
        <x:v>olive</x:v>
      </x:c>
      <x:c r="T15" s="33" t="str">
        <x:v>Y</x:v>
      </x:c>
      <x:c r="U15" s="33" t="n">
        <x:v>3.4</x:v>
      </x:c>
      <x:c r="V15" s="33" t="str">
        <x:v>IMG-190-10-1</x:v>
      </x:c>
      <x:c r="W15" s="34" t="str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2" t="n">
        <x:v>10</x:v>
      </x:c>
      <x:c r="O16" s="33" t="str">
        <x:v>sugar coated</x:v>
      </x:c>
      <x:c r="P16" s="33" t="n">
        <x:v>64.1</x:v>
      </x:c>
      <x:c r="Q16" s="33" t="n">
        <x:v>7.1</x:v>
      </x:c>
      <x:c r="R16" s="33" t="n">
        <x:v>5.6</x:v>
      </x:c>
      <x:c r="S16" s="33" t="str">
        <x:v>pale</x:v>
      </x:c>
      <x:c r="T16" s="33" t="str">
        <x:v>Y</x:v>
      </x:c>
      <x:c r="U16" s="33" t="n">
        <x:v>2.9</x:v>
      </x:c>
      <x:c r="V16" s="33" t="str">
        <x:v>IMG-190-10-2</x:v>
      </x:c>
      <x:c r="W16" s="34" t="str">
        <x:v>check</x:v>
      </x:c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2" t="n">
        <x:v>15</x:v>
      </x:c>
      <x:c r="O17" s="33" t="str">
        <x:v>STD</x:v>
      </x:c>
      <x:c r="P17" s="33" t="n">
        <x:v>80.7</x:v>
      </x:c>
      <x:c r="Q17" s="33" t="n">
        <x:v>8.9</x:v>
      </x:c>
      <x:c r="R17" s="33" t="n">
        <x:v>8</x:v>
      </x:c>
      <x:c r="S17" s="33" t="str">
        <x:v>gold</x:v>
      </x:c>
      <x:c r="T17" s="33" t="str">
        <x:v>Y</x:v>
      </x:c>
      <x:c r="U17" s="33" t="n">
        <x:v>4</x:v>
      </x:c>
      <x:c r="V17" s="33" t="str">
        <x:v>IMG-190-15-0</x:v>
      </x:c>
      <x:c r="W17" s="34" t="str">
        <x:v>check</x:v>
      </x:c>
      <x:c r="X17" s="33"/>
      <x:c r="Y17" s="33"/>
      <x:c r="Z17" s="33"/>
    </x:row>
    <x:row r="18">
      <x:c r="A18" s="33"/>
      <x:c r="B18" s="241" t="str">
        <x:v>메모
표와 설명이 멀리 떨어져 있음
배경색이 '참고' 의미
실험자가 중간에 포맷을 바꿈</x:v>
      </x:c>
      <x:c r="C18" s="242"/>
      <x:c r="D18" s="242"/>
      <x:c r="E18" s="242"/>
      <x:c r="F18" s="243"/>
      <x:c r="G18" s="33"/>
      <x:c r="H18" s="33"/>
      <x:c r="I18" s="33"/>
      <x:c r="J18" s="33"/>
      <x:c r="K18" s="33"/>
      <x:c r="L18" s="33"/>
      <x:c r="M18" s="33"/>
      <x:c r="N18" s="32" t="n">
        <x:v>15</x:v>
      </x:c>
      <x:c r="O18" s="33" t="str">
        <x:v>rum</x:v>
      </x:c>
      <x:c r="P18" s="33" t="n">
        <x:v>81.6</x:v>
      </x:c>
      <x:c r="Q18" s="33" t="n">
        <x:v>9.1</x:v>
      </x:c>
      <x:c r="R18" s="33" t="n">
        <x:v>8.6</x:v>
      </x:c>
      <x:c r="S18" s="33" t="str">
        <x:v>gold</x:v>
      </x:c>
      <x:c r="T18" s="33" t="str">
        <x:v>N</x:v>
      </x:c>
      <x:c r="U18" s="33" t="n">
        <x:v>4.8</x:v>
      </x:c>
      <x:c r="V18" s="33" t="str">
        <x:v>IMG-190-15-1</x:v>
      </x:c>
      <x:c r="W18" s="34" t="str">
        <x:v>memo</x:v>
      </x:c>
      <x:c r="X18" s="33"/>
      <x:c r="Y18" s="33"/>
      <x:c r="Z18" s="33"/>
    </x:row>
    <x:row r="19">
      <x:c r="A19" s="33"/>
      <x:c r="B19" s="244"/>
      <x:c r="C19" s="245"/>
      <x:c r="D19" s="245"/>
      <x:c r="E19" s="245"/>
      <x:c r="F19" s="246"/>
      <x:c r="G19" s="33"/>
      <x:c r="H19" s="33"/>
      <x:c r="I19" s="33"/>
      <x:c r="J19" s="33"/>
      <x:c r="K19" s="33"/>
      <x:c r="L19" s="33"/>
      <x:c r="M19" s="33"/>
      <x:c r="N19" s="32" t="n">
        <x:v>15</x:v>
      </x:c>
      <x:c r="O19" s="33" t="str">
        <x:v>sugar coated</x:v>
      </x:c>
      <x:c r="P19" s="33" t="n">
        <x:v>81.9</x:v>
      </x:c>
      <x:c r="Q19" s="33" t="n">
        <x:v>9.2</x:v>
      </x:c>
      <x:c r="R19" s="33" t="n">
        <x:v>8.4</x:v>
      </x:c>
      <x:c r="S19" s="33" t="str">
        <x:v>olive</x:v>
      </x:c>
      <x:c r="T19" s="33" t="str">
        <x:v>Y</x:v>
      </x:c>
      <x:c r="U19" s="33" t="n">
        <x:v>3.4</x:v>
      </x:c>
      <x:c r="V19" s="33" t="str">
        <x:v>IMG-190-15-2</x:v>
      </x:c>
      <x:c r="W19" s="34" t="str"/>
      <x:c r="X19" s="33"/>
      <x:c r="Y19" s="33"/>
      <x:c r="Z19" s="33"/>
    </x:row>
    <x:row r="20">
      <x:c r="A20" s="33"/>
      <x:c r="B20" s="244"/>
      <x:c r="C20" s="245"/>
      <x:c r="D20" s="245"/>
      <x:c r="E20" s="245"/>
      <x:c r="F20" s="246"/>
      <x:c r="G20" s="33"/>
      <x:c r="H20" s="33"/>
      <x:c r="I20" s="33"/>
      <x:c r="J20" s="33"/>
      <x:c r="K20" s="33"/>
      <x:c r="L20" s="33"/>
      <x:c r="M20" s="33"/>
      <x:c r="N20" s="32" t="n">
        <x:v>20</x:v>
      </x:c>
      <x:c r="O20" s="33" t="str">
        <x:v>STD</x:v>
      </x:c>
      <x:c r="P20" s="33" t="n">
        <x:v>98.6</x:v>
      </x:c>
      <x:c r="Q20" s="33" t="n">
        <x:v>10.7</x:v>
      </x:c>
      <x:c r="R20" s="33" t="n">
        <x:v>10.6</x:v>
      </x:c>
      <x:c r="S20" s="33" t="str">
        <x:v>gold</x:v>
      </x:c>
      <x:c r="T20" s="33" t="str">
        <x:v>Y</x:v>
      </x:c>
      <x:c r="U20" s="33" t="n">
        <x:v>4.8</x:v>
      </x:c>
      <x:c r="V20" s="33" t="str">
        <x:v>IMG-190-20-0</x:v>
      </x:c>
      <x:c r="W20" s="34" t="str">
        <x:v>check</x:v>
      </x:c>
      <x:c r="X20" s="33"/>
      <x:c r="Y20" s="33"/>
      <x:c r="Z20" s="33"/>
    </x:row>
    <x:row r="21">
      <x:c r="A21" s="33"/>
      <x:c r="B21" s="244"/>
      <x:c r="C21" s="245"/>
      <x:c r="D21" s="245"/>
      <x:c r="E21" s="245"/>
      <x:c r="F21" s="246"/>
      <x:c r="G21" s="33"/>
      <x:c r="H21" s="33"/>
      <x:c r="I21" s="33"/>
      <x:c r="J21" s="33"/>
      <x:c r="K21" s="33"/>
      <x:c r="L21" s="33"/>
      <x:c r="M21" s="33"/>
      <x:c r="N21" s="32" t="n">
        <x:v>20</x:v>
      </x:c>
      <x:c r="O21" s="33" t="str">
        <x:v>rum</x:v>
      </x:c>
      <x:c r="P21" s="33" t="n">
        <x:v>98.5</x:v>
      </x:c>
      <x:c r="Q21" s="33" t="n">
        <x:v>11.1</x:v>
      </x:c>
      <x:c r="R21" s="33" t="n">
        <x:v>10.8</x:v>
      </x:c>
      <x:c r="S21" s="33" t="str">
        <x:v>pale</x:v>
      </x:c>
      <x:c r="T21" s="33" t="str">
        <x:v>Y</x:v>
      </x:c>
      <x:c r="U21" s="33" t="n">
        <x:v>4.2</x:v>
      </x:c>
      <x:c r="V21" s="33" t="str">
        <x:v>IMG-190-20-1</x:v>
      </x:c>
      <x:c r="W21" s="34" t="str"/>
      <x:c r="X21" s="33"/>
      <x:c r="Y21" s="33"/>
      <x:c r="Z21" s="33"/>
    </x:row>
    <x:row r="22">
      <x:c r="A22" s="33"/>
      <x:c r="B22" s="244"/>
      <x:c r="C22" s="245"/>
      <x:c r="D22" s="245"/>
      <x:c r="E22" s="245"/>
      <x:c r="F22" s="246"/>
      <x:c r="G22" s="33"/>
      <x:c r="H22" s="33"/>
      <x:c r="I22" s="33"/>
      <x:c r="J22" s="33"/>
      <x:c r="K22" s="33"/>
      <x:c r="L22" s="33"/>
      <x:c r="M22" s="33"/>
      <x:c r="N22" s="32" t="n">
        <x:v>20</x:v>
      </x:c>
      <x:c r="O22" s="33" t="str">
        <x:v>sugar coated</x:v>
      </x:c>
      <x:c r="P22" s="33" t="n">
        <x:v>99.4</x:v>
      </x:c>
      <x:c r="Q22" s="33" t="n">
        <x:v>12.1</x:v>
      </x:c>
      <x:c r="R22" s="33" t="n">
        <x:v>10.6</x:v>
      </x:c>
      <x:c r="S22" s="33" t="str">
        <x:v>gold</x:v>
      </x:c>
      <x:c r="T22" s="33" t="str">
        <x:v>Y</x:v>
      </x:c>
      <x:c r="U22" s="33" t="n">
        <x:v>4</x:v>
      </x:c>
      <x:c r="V22" s="33" t="str">
        <x:v>IMG-190-20-2</x:v>
      </x:c>
      <x:c r="W22" s="34" t="str"/>
      <x:c r="X22" s="33"/>
      <x:c r="Y22" s="33"/>
      <x:c r="Z22" s="33"/>
    </x:row>
    <x:row r="23">
      <x:c r="A23" s="33"/>
      <x:c r="B23" s="247"/>
      <x:c r="C23" s="248"/>
      <x:c r="D23" s="248"/>
      <x:c r="E23" s="248"/>
      <x:c r="F23" s="249"/>
      <x:c r="G23" s="33"/>
      <x:c r="H23" s="33"/>
      <x:c r="I23" s="33"/>
      <x:c r="J23" s="33"/>
      <x:c r="K23" s="33"/>
      <x:c r="L23" s="33"/>
      <x:c r="M23" s="33"/>
      <x:c r="N23" s="35" t="n">
        <x:v>20</x:v>
      </x:c>
      <x:c r="O23" s="36" t="str">
        <x:v>olive topping</x:v>
      </x:c>
      <x:c r="P23" s="36" t="n">
        <x:v>99.4</x:v>
      </x:c>
      <x:c r="Q23" s="36" t="n">
        <x:v>12.5</x:v>
      </x:c>
      <x:c r="R23" s="36" t="n">
        <x:v>10.7</x:v>
      </x:c>
      <x:c r="S23" s="36" t="str">
        <x:v>pale</x:v>
      </x:c>
      <x:c r="T23" s="36" t="str">
        <x:v>N</x:v>
      </x:c>
      <x:c r="U23" s="36" t="n">
        <x:v>4.5</x:v>
      </x:c>
      <x:c r="V23" s="36" t="str">
        <x:v>IMG-190-20-3</x:v>
      </x:c>
      <x:c r="W23" s="37" t="str">
        <x:v>check</x:v>
      </x:c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H3:T4"/>
    <x:mergeCell ref="B18:F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171" t="str">
        <x:v>올리브 / 200°C — 사람 보기용 흩어진 기록</x:v>
      </x:c>
      <x:c r="I3" s="172"/>
      <x:c r="J3" s="172"/>
      <x:c r="K3" s="172"/>
      <x:c r="L3" s="172"/>
      <x:c r="M3" s="172"/>
      <x:c r="N3" s="172"/>
      <x:c r="O3" s="172"/>
      <x:c r="P3" s="172"/>
      <x:c r="Q3" s="172"/>
      <x:c r="R3" s="172"/>
      <x:c r="S3" s="172"/>
      <x:c r="T3" s="17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33"/>
      <x:c r="F4" s="33"/>
      <x:c r="G4" s="33"/>
      <x:c r="H4" s="174"/>
      <x:c r="I4" s="175"/>
      <x:c r="J4" s="175"/>
      <x:c r="K4" s="175"/>
      <x:c r="L4" s="175"/>
      <x:c r="M4" s="175"/>
      <x:c r="N4" s="175"/>
      <x:c r="O4" s="175"/>
      <x:c r="P4" s="175"/>
      <x:c r="Q4" s="175"/>
      <x:c r="R4" s="175"/>
      <x:c r="S4" s="175"/>
      <x:c r="T4" s="176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29" t="str">
        <x:v>setting</x:v>
      </x:c>
      <x:c r="D8" s="30" t="str">
        <x:v>value</x:v>
      </x:c>
      <x:c r="E8" s="30" t="str">
        <x:v>u</x:v>
      </x:c>
      <x:c r="F8" s="30" t="str">
        <x:v>who</x:v>
      </x:c>
      <x:c r="G8" s="31" t="str">
        <x:v>memo</x:v>
      </x:c>
      <x:c r="H8" s="33"/>
      <x:c r="I8" s="33"/>
      <x:c r="J8" s="33"/>
      <x:c r="K8" s="33"/>
      <x:c r="L8" s="33"/>
      <x:c r="M8" s="33"/>
      <x:c r="N8" s="214" t="str">
        <x:v>Time</x:v>
      </x:c>
      <x:c r="O8" s="215" t="str">
        <x:v>condition</x:v>
      </x:c>
      <x:c r="P8" s="215" t="str">
        <x:v>core</x:v>
      </x:c>
      <x:c r="Q8" s="215" t="str">
        <x:v>rise</x:v>
      </x:c>
      <x:c r="R8" s="215" t="str">
        <x:v>loss</x:v>
      </x:c>
      <x:c r="S8" s="215" t="str">
        <x:v>color</x:v>
      </x:c>
      <x:c r="T8" s="215" t="str">
        <x:v>crack</x:v>
      </x:c>
      <x:c r="U8" s="215" t="str">
        <x:v>moist</x:v>
      </x:c>
      <x:c r="V8" s="215" t="str">
        <x:v>photo#</x:v>
      </x:c>
      <x:c r="W8" s="216" t="str">
        <x:v>note</x:v>
      </x:c>
      <x:c r="X8" s="33"/>
      <x:c r="Y8" s="33"/>
      <x:c r="Z8" s="33"/>
    </x:row>
    <x:row r="9">
      <x:c r="A9" s="33"/>
      <x:c r="B9" s="33"/>
      <x:c r="C9" s="32" t="str">
        <x:v>oven</x:v>
      </x:c>
      <x:c r="D9" s="33" t="n">
        <x:v>200</x:v>
      </x:c>
      <x:c r="E9" s="33" t="str">
        <x:v>℃</x:v>
      </x:c>
      <x:c r="F9" s="33" t="str">
        <x:v>K</x:v>
      </x:c>
      <x:c r="G9" s="34" t="str"/>
      <x:c r="H9" s="33"/>
      <x:c r="I9" s="33"/>
      <x:c r="J9" s="33"/>
      <x:c r="K9" s="33"/>
      <x:c r="L9" s="33"/>
      <x:c r="M9" s="33"/>
      <x:c r="N9" s="33" t="str">
        <x:v>min</x:v>
      </x:c>
      <x:c r="O9" s="33" t="str"/>
      <x:c r="P9" s="33" t="str">
        <x:v>°C</x:v>
      </x:c>
      <x:c r="Q9" s="33" t="str">
        <x:v>mm</x:v>
      </x:c>
      <x:c r="R9" s="33" t="str">
        <x:v>%</x:v>
      </x:c>
      <x:c r="S9" s="33" t="str"/>
      <x:c r="T9" s="33" t="str">
        <x:v>Y/N</x:v>
      </x:c>
      <x:c r="U9" s="33" t="str">
        <x:v>score</x:v>
      </x:c>
      <x:c r="V9" s="33" t="str"/>
      <x:c r="W9" s="33" t="str"/>
      <x:c r="X9" s="33"/>
      <x:c r="Y9" s="33"/>
      <x:c r="Z9" s="33"/>
    </x:row>
    <x:row r="10">
      <x:c r="A10" s="33"/>
      <x:c r="B10" s="33"/>
      <x:c r="C10" s="32" t="str">
        <x:v>preheat</x:v>
      </x:c>
      <x:c r="D10" s="33" t="n">
        <x:v>25</x:v>
      </x:c>
      <x:c r="E10" s="33" t="str">
        <x:v>min</x:v>
      </x:c>
      <x:c r="F10" s="33" t="str">
        <x:v>?</x:v>
      </x:c>
      <x:c r="G10" s="34" t="str">
        <x:v>충분히?</x:v>
      </x:c>
      <x:c r="H10" s="33"/>
      <x:c r="I10" s="33"/>
      <x:c r="J10" s="33"/>
      <x:c r="K10" s="33"/>
      <x:c r="L10" s="33"/>
      <x:c r="M10" s="33"/>
      <x:c r="N10" s="29" t="n">
        <x:v>0</x:v>
      </x:c>
      <x:c r="O10" s="30" t="str">
        <x:v>STD</x:v>
      </x:c>
      <x:c r="P10" s="30" t="n">
        <x:v>29.5</x:v>
      </x:c>
      <x:c r="Q10" s="30" t="n">
        <x:v>1.7</x:v>
      </x:c>
      <x:c r="R10" s="30" t="n">
        <x:v>0.6</x:v>
      </x:c>
      <x:c r="S10" s="30" t="str">
        <x:v>pale</x:v>
      </x:c>
      <x:c r="T10" s="30" t="str">
        <x:v>N</x:v>
      </x:c>
      <x:c r="U10" s="30" t="n">
        <x:v>4.8</x:v>
      </x:c>
      <x:c r="V10" s="30" t="str">
        <x:v>IMG-200-0-0</x:v>
      </x:c>
      <x:c r="W10" s="31" t="str">
        <x:v>check</x:v>
      </x:c>
      <x:c r="X10" s="33"/>
      <x:c r="Y10" s="33"/>
      <x:c r="Z10" s="33"/>
    </x:row>
    <x:row r="11">
      <x:c r="A11" s="33"/>
      <x:c r="B11" s="33"/>
      <x:c r="C11" s="32" t="str">
        <x:v>room</x:v>
      </x:c>
      <x:c r="D11" s="33" t="n">
        <x:v>24.5</x:v>
      </x:c>
      <x:c r="E11" s="33" t="str">
        <x:v>℃</x:v>
      </x:c>
      <x:c r="F11" s="33" t="str">
        <x:v>JH</x:v>
      </x:c>
      <x:c r="G11" s="34" t="str"/>
      <x:c r="H11" s="33"/>
      <x:c r="I11" s="33"/>
      <x:c r="J11" s="33"/>
      <x:c r="K11" s="33"/>
      <x:c r="L11" s="33"/>
      <x:c r="M11" s="33"/>
      <x:c r="N11" s="32" t="n">
        <x:v>0</x:v>
      </x:c>
      <x:c r="O11" s="33" t="str">
        <x:v>rum</x:v>
      </x:c>
      <x:c r="P11" s="33" t="n">
        <x:v>30.2</x:v>
      </x:c>
      <x:c r="Q11" s="33" t="n">
        <x:v>2.4</x:v>
      </x:c>
      <x:c r="R11" s="33" t="n">
        <x:v>0.6</x:v>
      </x:c>
      <x:c r="S11" s="33" t="str">
        <x:v>gold</x:v>
      </x:c>
      <x:c r="T11" s="33" t="str">
        <x:v>N</x:v>
      </x:c>
      <x:c r="U11" s="33" t="n">
        <x:v>2.8</x:v>
      </x:c>
      <x:c r="V11" s="33" t="str">
        <x:v>IMG-200-0-1</x:v>
      </x:c>
      <x:c r="W11" s="34" t="str"/>
      <x:c r="X11" s="33"/>
      <x:c r="Y11" s="33"/>
      <x:c r="Z11" s="33"/>
    </x:row>
    <x:row r="12">
      <x:c r="A12" s="33"/>
      <x:c r="B12" s="33"/>
      <x:c r="C12" s="35" t="str">
        <x:v>mold</x:v>
      </x:c>
      <x:c r="D12" s="36" t="str">
        <x:v>silicone</x:v>
      </x:c>
      <x:c r="E12" s="36" t="str"/>
      <x:c r="F12" s="36" t="str"/>
      <x:c r="G12" s="37" t="str">
        <x:v>12ea</x:v>
      </x:c>
      <x:c r="H12" s="33"/>
      <x:c r="I12" s="33"/>
      <x:c r="J12" s="33"/>
      <x:c r="K12" s="33"/>
      <x:c r="L12" s="33"/>
      <x:c r="M12" s="33"/>
      <x:c r="N12" s="32" t="n">
        <x:v>5</x:v>
      </x:c>
      <x:c r="O12" s="33" t="str">
        <x:v>STD</x:v>
      </x:c>
      <x:c r="P12" s="33" t="n">
        <x:v>46.6</x:v>
      </x:c>
      <x:c r="Q12" s="33" t="n">
        <x:v>4.4</x:v>
      </x:c>
      <x:c r="R12" s="33" t="n">
        <x:v>3.1</x:v>
      </x:c>
      <x:c r="S12" s="33" t="str">
        <x:v>olive</x:v>
      </x:c>
      <x:c r="T12" s="33" t="str">
        <x:v>N</x:v>
      </x:c>
      <x:c r="U12" s="33" t="n">
        <x:v>3.3</x:v>
      </x:c>
      <x:c r="V12" s="33" t="str">
        <x:v>IMG-200-5-0</x:v>
      </x:c>
      <x:c r="W12" s="34" t="str">
        <x:v>check</x:v>
      </x:c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2" t="n">
        <x:v>5</x:v>
      </x:c>
      <x:c r="O13" s="33" t="str">
        <x:v>rum</x:v>
      </x:c>
      <x:c r="P13" s="33" t="n">
        <x:v>47.6</x:v>
      </x:c>
      <x:c r="Q13" s="33" t="n">
        <x:v>4.3</x:v>
      </x:c>
      <x:c r="R13" s="33" t="n">
        <x:v>3.4</x:v>
      </x:c>
      <x:c r="S13" s="33" t="str">
        <x:v>olive</x:v>
      </x:c>
      <x:c r="T13" s="33" t="str">
        <x:v>Y</x:v>
      </x:c>
      <x:c r="U13" s="33" t="n">
        <x:v>3.2</x:v>
      </x:c>
      <x:c r="V13" s="33" t="str">
        <x:v>IMG-200-5-1</x:v>
      </x:c>
      <x:c r="W13" s="34" t="str">
        <x:v>check</x:v>
      </x:c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2" t="n">
        <x:v>10</x:v>
      </x:c>
      <x:c r="O14" s="33" t="str">
        <x:v>STD</x:v>
      </x:c>
      <x:c r="P14" s="33" t="n">
        <x:v>64.4</x:v>
      </x:c>
      <x:c r="Q14" s="33" t="n">
        <x:v>6.3</x:v>
      </x:c>
      <x:c r="R14" s="33" t="n">
        <x:v>6.2</x:v>
      </x:c>
      <x:c r="S14" s="33" t="str">
        <x:v>olive</x:v>
      </x:c>
      <x:c r="T14" s="33" t="str">
        <x:v>N</x:v>
      </x:c>
      <x:c r="U14" s="33" t="n">
        <x:v>4.7</x:v>
      </x:c>
      <x:c r="V14" s="33" t="str">
        <x:v>IMG-200-10-0</x:v>
      </x:c>
      <x:c r="W14" s="34" t="str">
        <x:v>memo</x:v>
      </x:c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2" t="n">
        <x:v>10</x:v>
      </x:c>
      <x:c r="O15" s="33" t="str">
        <x:v>rum</x:v>
      </x:c>
      <x:c r="P15" s="33" t="n">
        <x:v>65.3</x:v>
      </x:c>
      <x:c r="Q15" s="33" t="n">
        <x:v>7.1</x:v>
      </x:c>
      <x:c r="R15" s="33" t="n">
        <x:v>6</x:v>
      </x:c>
      <x:c r="S15" s="33" t="str">
        <x:v>gold</x:v>
      </x:c>
      <x:c r="T15" s="33" t="str">
        <x:v>N</x:v>
      </x:c>
      <x:c r="U15" s="33" t="n">
        <x:v>2.6</x:v>
      </x:c>
      <x:c r="V15" s="33" t="str">
        <x:v>IMG-200-10-1</x:v>
      </x:c>
      <x:c r="W15" s="34" t="str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2" t="n">
        <x:v>10</x:v>
      </x:c>
      <x:c r="O16" s="33" t="str">
        <x:v>sugar coated</x:v>
      </x:c>
      <x:c r="P16" s="33" t="n">
        <x:v>66.2</x:v>
      </x:c>
      <x:c r="Q16" s="33" t="n">
        <x:v>7</x:v>
      </x:c>
      <x:c r="R16" s="33" t="n">
        <x:v>5.8</x:v>
      </x:c>
      <x:c r="S16" s="33" t="str">
        <x:v>pale</x:v>
      </x:c>
      <x:c r="T16" s="33" t="str">
        <x:v>Y</x:v>
      </x:c>
      <x:c r="U16" s="33" t="n">
        <x:v>3.9</x:v>
      </x:c>
      <x:c r="V16" s="33" t="str">
        <x:v>IMG-200-10-2</x:v>
      </x:c>
      <x:c r="W16" s="34" t="str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2" t="n">
        <x:v>15</x:v>
      </x:c>
      <x:c r="O17" s="33" t="str">
        <x:v>STD</x:v>
      </x:c>
      <x:c r="P17" s="33" t="n">
        <x:v>83.1</x:v>
      </x:c>
      <x:c r="Q17" s="33" t="n">
        <x:v>8.6</x:v>
      </x:c>
      <x:c r="R17" s="33" t="n">
        <x:v>8.7</x:v>
      </x:c>
      <x:c r="S17" s="33" t="str">
        <x:v>gold</x:v>
      </x:c>
      <x:c r="T17" s="33" t="str">
        <x:v>N</x:v>
      </x:c>
      <x:c r="U17" s="33" t="n">
        <x:v>3.5</x:v>
      </x:c>
      <x:c r="V17" s="33" t="str">
        <x:v>IMG-200-15-0</x:v>
      </x:c>
      <x:c r="W17" s="34" t="str"/>
      <x:c r="X17" s="33"/>
      <x:c r="Y17" s="33"/>
      <x:c r="Z17" s="33"/>
    </x:row>
    <x:row r="18">
      <x:c r="A18" s="33"/>
      <x:c r="B18" s="241" t="str">
        <x:v>메모
표와 설명이 멀리 떨어져 있음
배경색이 '참고' 의미
실험자가 중간에 포맷을 바꿈</x:v>
      </x:c>
      <x:c r="C18" s="242"/>
      <x:c r="D18" s="242"/>
      <x:c r="E18" s="242"/>
      <x:c r="F18" s="243"/>
      <x:c r="G18" s="33"/>
      <x:c r="H18" s="33"/>
      <x:c r="I18" s="33"/>
      <x:c r="J18" s="33"/>
      <x:c r="K18" s="33"/>
      <x:c r="L18" s="33"/>
      <x:c r="M18" s="33"/>
      <x:c r="N18" s="32" t="n">
        <x:v>15</x:v>
      </x:c>
      <x:c r="O18" s="33" t="str">
        <x:v>rum</x:v>
      </x:c>
      <x:c r="P18" s="33" t="n">
        <x:v>83.2</x:v>
      </x:c>
      <x:c r="Q18" s="33" t="n">
        <x:v>9.1</x:v>
      </x:c>
      <x:c r="R18" s="33" t="n">
        <x:v>8.4</x:v>
      </x:c>
      <x:c r="S18" s="33" t="str">
        <x:v>pale</x:v>
      </x:c>
      <x:c r="T18" s="33" t="str">
        <x:v>Y</x:v>
      </x:c>
      <x:c r="U18" s="33" t="n">
        <x:v>2.7</x:v>
      </x:c>
      <x:c r="V18" s="33" t="str">
        <x:v>IMG-200-15-1</x:v>
      </x:c>
      <x:c r="W18" s="34" t="str">
        <x:v>check</x:v>
      </x:c>
      <x:c r="X18" s="33"/>
      <x:c r="Y18" s="33"/>
      <x:c r="Z18" s="33"/>
    </x:row>
    <x:row r="19">
      <x:c r="A19" s="33"/>
      <x:c r="B19" s="244"/>
      <x:c r="C19" s="245"/>
      <x:c r="D19" s="245"/>
      <x:c r="E19" s="245"/>
      <x:c r="F19" s="246"/>
      <x:c r="G19" s="33"/>
      <x:c r="H19" s="33"/>
      <x:c r="I19" s="33"/>
      <x:c r="J19" s="33"/>
      <x:c r="K19" s="33"/>
      <x:c r="L19" s="33"/>
      <x:c r="M19" s="33"/>
      <x:c r="N19" s="32" t="n">
        <x:v>15</x:v>
      </x:c>
      <x:c r="O19" s="33" t="str">
        <x:v>sugar coated</x:v>
      </x:c>
      <x:c r="P19" s="33" t="n">
        <x:v>83.2</x:v>
      </x:c>
      <x:c r="Q19" s="33" t="n">
        <x:v>9.3</x:v>
      </x:c>
      <x:c r="R19" s="33" t="n">
        <x:v>8.8</x:v>
      </x:c>
      <x:c r="S19" s="33" t="str">
        <x:v>olive</x:v>
      </x:c>
      <x:c r="T19" s="33" t="str">
        <x:v>Y</x:v>
      </x:c>
      <x:c r="U19" s="33" t="n">
        <x:v>3.2</x:v>
      </x:c>
      <x:c r="V19" s="33" t="str">
        <x:v>IMG-200-15-2</x:v>
      </x:c>
      <x:c r="W19" s="34" t="str">
        <x:v>memo</x:v>
      </x:c>
      <x:c r="X19" s="33"/>
      <x:c r="Y19" s="33"/>
      <x:c r="Z19" s="33"/>
    </x:row>
    <x:row r="20">
      <x:c r="A20" s="33"/>
      <x:c r="B20" s="244"/>
      <x:c r="C20" s="245"/>
      <x:c r="D20" s="245"/>
      <x:c r="E20" s="245"/>
      <x:c r="F20" s="246"/>
      <x:c r="G20" s="33"/>
      <x:c r="H20" s="33"/>
      <x:c r="I20" s="33"/>
      <x:c r="J20" s="33"/>
      <x:c r="K20" s="33"/>
      <x:c r="L20" s="33"/>
      <x:c r="M20" s="33"/>
      <x:c r="N20" s="32" t="n">
        <x:v>20</x:v>
      </x:c>
      <x:c r="O20" s="33" t="str">
        <x:v>STD</x:v>
      </x:c>
      <x:c r="P20" s="33" t="n">
        <x:v>99.4</x:v>
      </x:c>
      <x:c r="Q20" s="33" t="n">
        <x:v>11.1</x:v>
      </x:c>
      <x:c r="R20" s="33" t="n">
        <x:v>11.2</x:v>
      </x:c>
      <x:c r="S20" s="33" t="str">
        <x:v>olive</x:v>
      </x:c>
      <x:c r="T20" s="33" t="str">
        <x:v>Y</x:v>
      </x:c>
      <x:c r="U20" s="33" t="n">
        <x:v>4.8</x:v>
      </x:c>
      <x:c r="V20" s="33" t="str">
        <x:v>IMG-200-20-0</x:v>
      </x:c>
      <x:c r="W20" s="34" t="str"/>
      <x:c r="X20" s="33"/>
      <x:c r="Y20" s="33"/>
      <x:c r="Z20" s="33"/>
    </x:row>
    <x:row r="21">
      <x:c r="A21" s="33"/>
      <x:c r="B21" s="244"/>
      <x:c r="C21" s="245"/>
      <x:c r="D21" s="245"/>
      <x:c r="E21" s="245"/>
      <x:c r="F21" s="246"/>
      <x:c r="G21" s="33"/>
      <x:c r="H21" s="33"/>
      <x:c r="I21" s="33"/>
      <x:c r="J21" s="33"/>
      <x:c r="K21" s="33"/>
      <x:c r="L21" s="33"/>
      <x:c r="M21" s="33"/>
      <x:c r="N21" s="32" t="n">
        <x:v>20</x:v>
      </x:c>
      <x:c r="O21" s="33" t="str">
        <x:v>rum</x:v>
      </x:c>
      <x:c r="P21" s="33" t="n">
        <x:v>99.4</x:v>
      </x:c>
      <x:c r="Q21" s="33" t="n">
        <x:v>11.2</x:v>
      </x:c>
      <x:c r="R21" s="33" t="n">
        <x:v>11.6</x:v>
      </x:c>
      <x:c r="S21" s="33" t="str">
        <x:v>olive</x:v>
      </x:c>
      <x:c r="T21" s="33" t="str">
        <x:v>N</x:v>
      </x:c>
      <x:c r="U21" s="33" t="n">
        <x:v>4.4</x:v>
      </x:c>
      <x:c r="V21" s="33" t="str">
        <x:v>IMG-200-20-1</x:v>
      </x:c>
      <x:c r="W21" s="34" t="str"/>
      <x:c r="X21" s="33"/>
      <x:c r="Y21" s="33"/>
      <x:c r="Z21" s="33"/>
    </x:row>
    <x:row r="22">
      <x:c r="A22" s="33"/>
      <x:c r="B22" s="244"/>
      <x:c r="C22" s="245"/>
      <x:c r="D22" s="245"/>
      <x:c r="E22" s="245"/>
      <x:c r="F22" s="246"/>
      <x:c r="G22" s="33"/>
      <x:c r="H22" s="33"/>
      <x:c r="I22" s="33"/>
      <x:c r="J22" s="33"/>
      <x:c r="K22" s="33"/>
      <x:c r="L22" s="33"/>
      <x:c r="M22" s="33"/>
      <x:c r="N22" s="32" t="n">
        <x:v>20</x:v>
      </x:c>
      <x:c r="O22" s="33" t="str">
        <x:v>sugar coated</x:v>
      </x:c>
      <x:c r="P22" s="33" t="n">
        <x:v>99.4</x:v>
      </x:c>
      <x:c r="Q22" s="33" t="n">
        <x:v>12</x:v>
      </x:c>
      <x:c r="R22" s="33" t="n">
        <x:v>11</x:v>
      </x:c>
      <x:c r="S22" s="33" t="str">
        <x:v>pale</x:v>
      </x:c>
      <x:c r="T22" s="33" t="str">
        <x:v>N</x:v>
      </x:c>
      <x:c r="U22" s="33" t="n">
        <x:v>4.8</x:v>
      </x:c>
      <x:c r="V22" s="33" t="str">
        <x:v>IMG-200-20-2</x:v>
      </x:c>
      <x:c r="W22" s="34" t="str">
        <x:v>memo</x:v>
      </x:c>
      <x:c r="X22" s="33"/>
      <x:c r="Y22" s="33"/>
      <x:c r="Z22" s="33"/>
    </x:row>
    <x:row r="23">
      <x:c r="A23" s="33"/>
      <x:c r="B23" s="247"/>
      <x:c r="C23" s="248"/>
      <x:c r="D23" s="248"/>
      <x:c r="E23" s="248"/>
      <x:c r="F23" s="249"/>
      <x:c r="G23" s="33"/>
      <x:c r="H23" s="33"/>
      <x:c r="I23" s="33"/>
      <x:c r="J23" s="33"/>
      <x:c r="K23" s="33"/>
      <x:c r="L23" s="33"/>
      <x:c r="M23" s="33"/>
      <x:c r="N23" s="35" t="n">
        <x:v>20</x:v>
      </x:c>
      <x:c r="O23" s="36" t="str">
        <x:v>olive topping</x:v>
      </x:c>
      <x:c r="P23" s="36" t="n">
        <x:v>99.4</x:v>
      </x:c>
      <x:c r="Q23" s="36" t="n">
        <x:v>12.5</x:v>
      </x:c>
      <x:c r="R23" s="36" t="n">
        <x:v>11.3</x:v>
      </x:c>
      <x:c r="S23" s="36" t="str">
        <x:v>pale</x:v>
      </x:c>
      <x:c r="T23" s="36" t="str">
        <x:v>N</x:v>
      </x:c>
      <x:c r="U23" s="36" t="n">
        <x:v>4.7</x:v>
      </x:c>
      <x:c r="V23" s="36" t="str">
        <x:v>IMG-200-20-3</x:v>
      </x:c>
      <x:c r="W23" s="37" t="str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H3:T4"/>
    <x:mergeCell ref="B18:F23"/>
  </x:mergeCells>
  <x:pageMargins left="0.7" right="0.7" top="0.75" bottom="0.75" header="0.3" footer="0.3"/>
  <x:drawing xmlns:r="http://schemas.openxmlformats.org/officeDocument/2006/relationships" r:id="Ra70277f84d1b4458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171" t="str">
        <x:v>올리브 / 210°C — 사람 보기용 흩어진 기록</x:v>
      </x:c>
      <x:c r="I3" s="172"/>
      <x:c r="J3" s="172"/>
      <x:c r="K3" s="172"/>
      <x:c r="L3" s="172"/>
      <x:c r="M3" s="172"/>
      <x:c r="N3" s="172"/>
      <x:c r="O3" s="172"/>
      <x:c r="P3" s="172"/>
      <x:c r="Q3" s="172"/>
      <x:c r="R3" s="172"/>
      <x:c r="S3" s="172"/>
      <x:c r="T3" s="17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33"/>
      <x:c r="F4" s="33"/>
      <x:c r="G4" s="33"/>
      <x:c r="H4" s="174"/>
      <x:c r="I4" s="175"/>
      <x:c r="J4" s="175"/>
      <x:c r="K4" s="175"/>
      <x:c r="L4" s="175"/>
      <x:c r="M4" s="175"/>
      <x:c r="N4" s="175"/>
      <x:c r="O4" s="175"/>
      <x:c r="P4" s="175"/>
      <x:c r="Q4" s="175"/>
      <x:c r="R4" s="175"/>
      <x:c r="S4" s="175"/>
      <x:c r="T4" s="176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29" t="str">
        <x:v>setting</x:v>
      </x:c>
      <x:c r="D8" s="30" t="str">
        <x:v>value</x:v>
      </x:c>
      <x:c r="E8" s="30" t="str">
        <x:v>u</x:v>
      </x:c>
      <x:c r="F8" s="30" t="str">
        <x:v>who</x:v>
      </x:c>
      <x:c r="G8" s="31" t="str">
        <x:v>memo</x:v>
      </x:c>
      <x:c r="H8" s="33"/>
      <x:c r="I8" s="33"/>
      <x:c r="J8" s="33"/>
      <x:c r="K8" s="33"/>
      <x:c r="L8" s="33"/>
      <x:c r="M8" s="33"/>
      <x:c r="N8" s="214" t="str">
        <x:v>Time</x:v>
      </x:c>
      <x:c r="O8" s="215" t="str">
        <x:v>condition</x:v>
      </x:c>
      <x:c r="P8" s="215" t="str">
        <x:v>core</x:v>
      </x:c>
      <x:c r="Q8" s="215" t="str">
        <x:v>rise</x:v>
      </x:c>
      <x:c r="R8" s="215" t="str">
        <x:v>loss</x:v>
      </x:c>
      <x:c r="S8" s="215" t="str">
        <x:v>color</x:v>
      </x:c>
      <x:c r="T8" s="215" t="str">
        <x:v>crack</x:v>
      </x:c>
      <x:c r="U8" s="215" t="str">
        <x:v>moist</x:v>
      </x:c>
      <x:c r="V8" s="215" t="str">
        <x:v>photo#</x:v>
      </x:c>
      <x:c r="W8" s="216" t="str">
        <x:v>note</x:v>
      </x:c>
      <x:c r="X8" s="33"/>
      <x:c r="Y8" s="33"/>
      <x:c r="Z8" s="33"/>
    </x:row>
    <x:row r="9">
      <x:c r="A9" s="33"/>
      <x:c r="B9" s="33"/>
      <x:c r="C9" s="32" t="str">
        <x:v>oven</x:v>
      </x:c>
      <x:c r="D9" s="33" t="n">
        <x:v>210</x:v>
      </x:c>
      <x:c r="E9" s="33" t="str">
        <x:v>℃</x:v>
      </x:c>
      <x:c r="F9" s="33" t="str">
        <x:v>K</x:v>
      </x:c>
      <x:c r="G9" s="34" t="str"/>
      <x:c r="H9" s="33"/>
      <x:c r="I9" s="33"/>
      <x:c r="J9" s="33"/>
      <x:c r="K9" s="33"/>
      <x:c r="L9" s="33"/>
      <x:c r="M9" s="33"/>
      <x:c r="N9" s="33" t="str">
        <x:v>min</x:v>
      </x:c>
      <x:c r="O9" s="33" t="str"/>
      <x:c r="P9" s="33" t="str">
        <x:v>°C</x:v>
      </x:c>
      <x:c r="Q9" s="33" t="str">
        <x:v>mm</x:v>
      </x:c>
      <x:c r="R9" s="33" t="str">
        <x:v>%</x:v>
      </x:c>
      <x:c r="S9" s="33" t="str"/>
      <x:c r="T9" s="33" t="str">
        <x:v>Y/N</x:v>
      </x:c>
      <x:c r="U9" s="33" t="str">
        <x:v>score</x:v>
      </x:c>
      <x:c r="V9" s="33" t="str"/>
      <x:c r="W9" s="33" t="str"/>
      <x:c r="X9" s="33"/>
      <x:c r="Y9" s="33"/>
      <x:c r="Z9" s="33"/>
    </x:row>
    <x:row r="10">
      <x:c r="A10" s="33"/>
      <x:c r="B10" s="33"/>
      <x:c r="C10" s="32" t="str">
        <x:v>preheat</x:v>
      </x:c>
      <x:c r="D10" s="33" t="n">
        <x:v>25</x:v>
      </x:c>
      <x:c r="E10" s="33" t="str">
        <x:v>min</x:v>
      </x:c>
      <x:c r="F10" s="33" t="str">
        <x:v>?</x:v>
      </x:c>
      <x:c r="G10" s="34" t="str">
        <x:v>충분히?</x:v>
      </x:c>
      <x:c r="H10" s="33"/>
      <x:c r="I10" s="33"/>
      <x:c r="J10" s="33"/>
      <x:c r="K10" s="33"/>
      <x:c r="L10" s="33"/>
      <x:c r="M10" s="33"/>
      <x:c r="N10" s="29" t="n">
        <x:v>0</x:v>
      </x:c>
      <x:c r="O10" s="30" t="str">
        <x:v>STD</x:v>
      </x:c>
      <x:c r="P10" s="30" t="n">
        <x:v>31.1</x:v>
      </x:c>
      <x:c r="Q10" s="30" t="n">
        <x:v>1.3</x:v>
      </x:c>
      <x:c r="R10" s="30" t="n">
        <x:v>1.5</x:v>
      </x:c>
      <x:c r="S10" s="30" t="str">
        <x:v>pale</x:v>
      </x:c>
      <x:c r="T10" s="30" t="str">
        <x:v>Y</x:v>
      </x:c>
      <x:c r="U10" s="30" t="n">
        <x:v>3.6</x:v>
      </x:c>
      <x:c r="V10" s="30" t="str">
        <x:v>IMG-210-0-0</x:v>
      </x:c>
      <x:c r="W10" s="31" t="str"/>
      <x:c r="X10" s="33"/>
      <x:c r="Y10" s="33"/>
      <x:c r="Z10" s="33"/>
    </x:row>
    <x:row r="11">
      <x:c r="A11" s="33"/>
      <x:c r="B11" s="33"/>
      <x:c r="C11" s="32" t="str">
        <x:v>room</x:v>
      </x:c>
      <x:c r="D11" s="33" t="n">
        <x:v>24.5</x:v>
      </x:c>
      <x:c r="E11" s="33" t="str">
        <x:v>℃</x:v>
      </x:c>
      <x:c r="F11" s="33" t="str">
        <x:v>JH</x:v>
      </x:c>
      <x:c r="G11" s="34" t="str"/>
      <x:c r="H11" s="33"/>
      <x:c r="I11" s="33"/>
      <x:c r="J11" s="33"/>
      <x:c r="K11" s="33"/>
      <x:c r="L11" s="33"/>
      <x:c r="M11" s="33"/>
      <x:c r="N11" s="32" t="n">
        <x:v>0</x:v>
      </x:c>
      <x:c r="O11" s="33" t="str">
        <x:v>rum</x:v>
      </x:c>
      <x:c r="P11" s="33" t="n">
        <x:v>32.4</x:v>
      </x:c>
      <x:c r="Q11" s="33" t="n">
        <x:v>2</x:v>
      </x:c>
      <x:c r="R11" s="33" t="n">
        <x:v>1.3</x:v>
      </x:c>
      <x:c r="S11" s="33" t="str">
        <x:v>pale</x:v>
      </x:c>
      <x:c r="T11" s="33" t="str">
        <x:v>Y</x:v>
      </x:c>
      <x:c r="U11" s="33" t="n">
        <x:v>3</x:v>
      </x:c>
      <x:c r="V11" s="33" t="str">
        <x:v>IMG-210-0-1</x:v>
      </x:c>
      <x:c r="W11" s="34" t="str"/>
      <x:c r="X11" s="33"/>
      <x:c r="Y11" s="33"/>
      <x:c r="Z11" s="33"/>
    </x:row>
    <x:row r="12">
      <x:c r="A12" s="33"/>
      <x:c r="B12" s="33"/>
      <x:c r="C12" s="35" t="str">
        <x:v>mold</x:v>
      </x:c>
      <x:c r="D12" s="36" t="str">
        <x:v>silicone</x:v>
      </x:c>
      <x:c r="E12" s="36" t="str"/>
      <x:c r="F12" s="36" t="str"/>
      <x:c r="G12" s="37" t="str">
        <x:v>12ea</x:v>
      </x:c>
      <x:c r="H12" s="33"/>
      <x:c r="I12" s="33"/>
      <x:c r="J12" s="33"/>
      <x:c r="K12" s="33"/>
      <x:c r="L12" s="33"/>
      <x:c r="M12" s="33"/>
      <x:c r="N12" s="32" t="n">
        <x:v>5</x:v>
      </x:c>
      <x:c r="O12" s="33" t="str">
        <x:v>STD</x:v>
      </x:c>
      <x:c r="P12" s="33" t="n">
        <x:v>49.1</x:v>
      </x:c>
      <x:c r="Q12" s="33" t="n">
        <x:v>3.4</x:v>
      </x:c>
      <x:c r="R12" s="33" t="n">
        <x:v>3.7</x:v>
      </x:c>
      <x:c r="S12" s="33" t="str">
        <x:v>olive</x:v>
      </x:c>
      <x:c r="T12" s="33" t="str">
        <x:v>Y</x:v>
      </x:c>
      <x:c r="U12" s="33" t="n">
        <x:v>2.9</x:v>
      </x:c>
      <x:c r="V12" s="33" t="str">
        <x:v>IMG-210-5-0</x:v>
      </x:c>
      <x:c r="W12" s="34" t="str">
        <x:v>check</x:v>
      </x:c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2" t="n">
        <x:v>5</x:v>
      </x:c>
      <x:c r="O13" s="33" t="str">
        <x:v>rum</x:v>
      </x:c>
      <x:c r="P13" s="33" t="n">
        <x:v>49.4</x:v>
      </x:c>
      <x:c r="Q13" s="33" t="n">
        <x:v>4.2</x:v>
      </x:c>
      <x:c r="R13" s="33" t="n">
        <x:v>3.6</x:v>
      </x:c>
      <x:c r="S13" s="33" t="str">
        <x:v>olive</x:v>
      </x:c>
      <x:c r="T13" s="33" t="str">
        <x:v>Y</x:v>
      </x:c>
      <x:c r="U13" s="33" t="n">
        <x:v>3.5</x:v>
      </x:c>
      <x:c r="V13" s="33" t="str">
        <x:v>IMG-210-5-1</x:v>
      </x:c>
      <x:c r="W13" s="34" t="str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2" t="n">
        <x:v>10</x:v>
      </x:c>
      <x:c r="O14" s="33" t="str">
        <x:v>STD</x:v>
      </x:c>
      <x:c r="P14" s="33" t="n">
        <x:v>66.5</x:v>
      </x:c>
      <x:c r="Q14" s="33" t="n">
        <x:v>6.3</x:v>
      </x:c>
      <x:c r="R14" s="33" t="n">
        <x:v>6.4</x:v>
      </x:c>
      <x:c r="S14" s="33" t="str">
        <x:v>olive</x:v>
      </x:c>
      <x:c r="T14" s="33" t="str">
        <x:v>Y</x:v>
      </x:c>
      <x:c r="U14" s="33" t="n">
        <x:v>2.6</x:v>
      </x:c>
      <x:c r="V14" s="33" t="str">
        <x:v>IMG-210-10-0</x:v>
      </x:c>
      <x:c r="W14" s="34" t="str">
        <x:v>memo</x:v>
      </x:c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2" t="n">
        <x:v>10</x:v>
      </x:c>
      <x:c r="O15" s="33" t="str">
        <x:v>rum</x:v>
      </x:c>
      <x:c r="P15" s="33" t="n">
        <x:v>67.4</x:v>
      </x:c>
      <x:c r="Q15" s="33" t="n">
        <x:v>6.4</x:v>
      </x:c>
      <x:c r="R15" s="33" t="n">
        <x:v>6.6</x:v>
      </x:c>
      <x:c r="S15" s="33" t="str">
        <x:v>olive</x:v>
      </x:c>
      <x:c r="T15" s="33" t="str">
        <x:v>Y</x:v>
      </x:c>
      <x:c r="U15" s="33" t="n">
        <x:v>4.2</x:v>
      </x:c>
      <x:c r="V15" s="33" t="str">
        <x:v>IMG-210-10-1</x:v>
      </x:c>
      <x:c r="W15" s="34" t="str">
        <x:v>memo</x:v>
      </x:c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2" t="n">
        <x:v>10</x:v>
      </x:c>
      <x:c r="O16" s="33" t="str">
        <x:v>sugar coated</x:v>
      </x:c>
      <x:c r="P16" s="33" t="n">
        <x:v>67.6</x:v>
      </x:c>
      <x:c r="Q16" s="33" t="n">
        <x:v>7</x:v>
      </x:c>
      <x:c r="R16" s="33" t="n">
        <x:v>6.7</x:v>
      </x:c>
      <x:c r="S16" s="33" t="str">
        <x:v>olive</x:v>
      </x:c>
      <x:c r="T16" s="33" t="str">
        <x:v>Y</x:v>
      </x:c>
      <x:c r="U16" s="33" t="n">
        <x:v>4.4</x:v>
      </x:c>
      <x:c r="V16" s="33" t="str">
        <x:v>IMG-210-10-2</x:v>
      </x:c>
      <x:c r="W16" s="34" t="str">
        <x:v>memo</x:v>
      </x:c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2" t="n">
        <x:v>15</x:v>
      </x:c>
      <x:c r="O17" s="33" t="str">
        <x:v>STD</x:v>
      </x:c>
      <x:c r="P17" s="33" t="n">
        <x:v>85.1</x:v>
      </x:c>
      <x:c r="Q17" s="33" t="n">
        <x:v>8.4</x:v>
      </x:c>
      <x:c r="R17" s="33" t="n">
        <x:v>9.2</x:v>
      </x:c>
      <x:c r="S17" s="33" t="str">
        <x:v>olive</x:v>
      </x:c>
      <x:c r="T17" s="33" t="str">
        <x:v>Y</x:v>
      </x:c>
      <x:c r="U17" s="33" t="n">
        <x:v>3.7</x:v>
      </x:c>
      <x:c r="V17" s="33" t="str">
        <x:v>IMG-210-15-0</x:v>
      </x:c>
      <x:c r="W17" s="34" t="str"/>
      <x:c r="X17" s="33"/>
      <x:c r="Y17" s="33"/>
      <x:c r="Z17" s="33"/>
    </x:row>
    <x:row r="18">
      <x:c r="A18" s="33"/>
      <x:c r="B18" s="241" t="str">
        <x:v>메모
표와 설명이 멀리 떨어져 있음
배경색이 '참고' 의미
실험자가 중간에 포맷을 바꿈</x:v>
      </x:c>
      <x:c r="C18" s="242"/>
      <x:c r="D18" s="242"/>
      <x:c r="E18" s="242"/>
      <x:c r="F18" s="243"/>
      <x:c r="G18" s="33"/>
      <x:c r="H18" s="33"/>
      <x:c r="I18" s="33"/>
      <x:c r="J18" s="33"/>
      <x:c r="K18" s="33"/>
      <x:c r="L18" s="33"/>
      <x:c r="M18" s="33"/>
      <x:c r="N18" s="32" t="n">
        <x:v>15</x:v>
      </x:c>
      <x:c r="O18" s="33" t="str">
        <x:v>rum</x:v>
      </x:c>
      <x:c r="P18" s="33" t="n">
        <x:v>84.9</x:v>
      </x:c>
      <x:c r="Q18" s="33" t="n">
        <x:v>8.8</x:v>
      </x:c>
      <x:c r="R18" s="33" t="n">
        <x:v>8.8</x:v>
      </x:c>
      <x:c r="S18" s="33" t="str">
        <x:v>pale</x:v>
      </x:c>
      <x:c r="T18" s="33" t="str">
        <x:v>Y</x:v>
      </x:c>
      <x:c r="U18" s="33" t="n">
        <x:v>4.2</x:v>
      </x:c>
      <x:c r="V18" s="33" t="str">
        <x:v>IMG-210-15-1</x:v>
      </x:c>
      <x:c r="W18" s="34" t="str">
        <x:v>memo</x:v>
      </x:c>
      <x:c r="X18" s="33"/>
      <x:c r="Y18" s="33"/>
      <x:c r="Z18" s="33"/>
    </x:row>
    <x:row r="19">
      <x:c r="A19" s="33"/>
      <x:c r="B19" s="244"/>
      <x:c r="C19" s="245"/>
      <x:c r="D19" s="245"/>
      <x:c r="E19" s="245"/>
      <x:c r="F19" s="246"/>
      <x:c r="G19" s="33"/>
      <x:c r="H19" s="33"/>
      <x:c r="I19" s="33"/>
      <x:c r="J19" s="33"/>
      <x:c r="K19" s="33"/>
      <x:c r="L19" s="33"/>
      <x:c r="M19" s="33"/>
      <x:c r="N19" s="32" t="n">
        <x:v>15</x:v>
      </x:c>
      <x:c r="O19" s="33" t="str">
        <x:v>sugar coated</x:v>
      </x:c>
      <x:c r="P19" s="33" t="n">
        <x:v>86.4</x:v>
      </x:c>
      <x:c r="Q19" s="33" t="n">
        <x:v>9.4</x:v>
      </x:c>
      <x:c r="R19" s="33" t="n">
        <x:v>9.3</x:v>
      </x:c>
      <x:c r="S19" s="33" t="str">
        <x:v>pale</x:v>
      </x:c>
      <x:c r="T19" s="33" t="str">
        <x:v>Y</x:v>
      </x:c>
      <x:c r="U19" s="33" t="n">
        <x:v>4.1</x:v>
      </x:c>
      <x:c r="V19" s="33" t="str">
        <x:v>IMG-210-15-2</x:v>
      </x:c>
      <x:c r="W19" s="34" t="str">
        <x:v>check</x:v>
      </x:c>
      <x:c r="X19" s="33"/>
      <x:c r="Y19" s="33"/>
      <x:c r="Z19" s="33"/>
    </x:row>
    <x:row r="20">
      <x:c r="A20" s="33"/>
      <x:c r="B20" s="244"/>
      <x:c r="C20" s="245"/>
      <x:c r="D20" s="245"/>
      <x:c r="E20" s="245"/>
      <x:c r="F20" s="246"/>
      <x:c r="G20" s="33"/>
      <x:c r="H20" s="33"/>
      <x:c r="I20" s="33"/>
      <x:c r="J20" s="33"/>
      <x:c r="K20" s="33"/>
      <x:c r="L20" s="33"/>
      <x:c r="M20" s="33"/>
      <x:c r="N20" s="32" t="n">
        <x:v>20</x:v>
      </x:c>
      <x:c r="O20" s="33" t="str">
        <x:v>STD</x:v>
      </x:c>
      <x:c r="P20" s="33" t="n">
        <x:v>99.4</x:v>
      </x:c>
      <x:c r="Q20" s="33" t="n">
        <x:v>10.5</x:v>
      </x:c>
      <x:c r="R20" s="33" t="n">
        <x:v>11.7</x:v>
      </x:c>
      <x:c r="S20" s="33" t="str">
        <x:v>olive</x:v>
      </x:c>
      <x:c r="T20" s="33" t="str">
        <x:v>N</x:v>
      </x:c>
      <x:c r="U20" s="33" t="n">
        <x:v>3.3</x:v>
      </x:c>
      <x:c r="V20" s="33" t="str">
        <x:v>IMG-210-20-0</x:v>
      </x:c>
      <x:c r="W20" s="34" t="str">
        <x:v>memo</x:v>
      </x:c>
      <x:c r="X20" s="33"/>
      <x:c r="Y20" s="33"/>
      <x:c r="Z20" s="33"/>
    </x:row>
    <x:row r="21">
      <x:c r="A21" s="33"/>
      <x:c r="B21" s="244"/>
      <x:c r="C21" s="245"/>
      <x:c r="D21" s="245"/>
      <x:c r="E21" s="245"/>
      <x:c r="F21" s="246"/>
      <x:c r="G21" s="33"/>
      <x:c r="H21" s="33"/>
      <x:c r="I21" s="33"/>
      <x:c r="J21" s="33"/>
      <x:c r="K21" s="33"/>
      <x:c r="L21" s="33"/>
      <x:c r="M21" s="33"/>
      <x:c r="N21" s="32" t="n">
        <x:v>20</x:v>
      </x:c>
      <x:c r="O21" s="33" t="str">
        <x:v>rum</x:v>
      </x:c>
      <x:c r="P21" s="33" t="n">
        <x:v>99.4</x:v>
      </x:c>
      <x:c r="Q21" s="33" t="n">
        <x:v>10.9</x:v>
      </x:c>
      <x:c r="R21" s="33" t="n">
        <x:v>12</x:v>
      </x:c>
      <x:c r="S21" s="33" t="str">
        <x:v>olive</x:v>
      </x:c>
      <x:c r="T21" s="33" t="str">
        <x:v>Y</x:v>
      </x:c>
      <x:c r="U21" s="33" t="n">
        <x:v>2.8</x:v>
      </x:c>
      <x:c r="V21" s="33" t="str">
        <x:v>IMG-210-20-1</x:v>
      </x:c>
      <x:c r="W21" s="34" t="str"/>
      <x:c r="X21" s="33"/>
      <x:c r="Y21" s="33"/>
      <x:c r="Z21" s="33"/>
    </x:row>
    <x:row r="22">
      <x:c r="A22" s="33"/>
      <x:c r="B22" s="244"/>
      <x:c r="C22" s="245"/>
      <x:c r="D22" s="245"/>
      <x:c r="E22" s="245"/>
      <x:c r="F22" s="246"/>
      <x:c r="G22" s="33"/>
      <x:c r="H22" s="33"/>
      <x:c r="I22" s="33"/>
      <x:c r="J22" s="33"/>
      <x:c r="K22" s="33"/>
      <x:c r="L22" s="33"/>
      <x:c r="M22" s="33"/>
      <x:c r="N22" s="32" t="n">
        <x:v>20</x:v>
      </x:c>
      <x:c r="O22" s="33" t="str">
        <x:v>sugar coated</x:v>
      </x:c>
      <x:c r="P22" s="33" t="n">
        <x:v>99.4</x:v>
      </x:c>
      <x:c r="Q22" s="33" t="n">
        <x:v>11.6</x:v>
      </x:c>
      <x:c r="R22" s="33" t="n">
        <x:v>11.5</x:v>
      </x:c>
      <x:c r="S22" s="33" t="str">
        <x:v>pale</x:v>
      </x:c>
      <x:c r="T22" s="33" t="str">
        <x:v>N</x:v>
      </x:c>
      <x:c r="U22" s="33" t="n">
        <x:v>4.4</x:v>
      </x:c>
      <x:c r="V22" s="33" t="str">
        <x:v>IMG-210-20-2</x:v>
      </x:c>
      <x:c r="W22" s="34" t="str">
        <x:v>memo</x:v>
      </x:c>
      <x:c r="X22" s="33"/>
      <x:c r="Y22" s="33"/>
      <x:c r="Z22" s="33"/>
    </x:row>
    <x:row r="23">
      <x:c r="A23" s="33"/>
      <x:c r="B23" s="247"/>
      <x:c r="C23" s="248"/>
      <x:c r="D23" s="248"/>
      <x:c r="E23" s="248"/>
      <x:c r="F23" s="249"/>
      <x:c r="G23" s="33"/>
      <x:c r="H23" s="33"/>
      <x:c r="I23" s="33"/>
      <x:c r="J23" s="33"/>
      <x:c r="K23" s="33"/>
      <x:c r="L23" s="33"/>
      <x:c r="M23" s="33"/>
      <x:c r="N23" s="35" t="n">
        <x:v>20</x:v>
      </x:c>
      <x:c r="O23" s="36" t="str">
        <x:v>olive topping</x:v>
      </x:c>
      <x:c r="P23" s="36" t="n">
        <x:v>99.4</x:v>
      </x:c>
      <x:c r="Q23" s="36" t="n">
        <x:v>11.6</x:v>
      </x:c>
      <x:c r="R23" s="36" t="n">
        <x:v>11.8</x:v>
      </x:c>
      <x:c r="S23" s="36" t="str">
        <x:v>olive</x:v>
      </x:c>
      <x:c r="T23" s="36" t="str">
        <x:v>Y</x:v>
      </x:c>
      <x:c r="U23" s="36" t="n">
        <x:v>3.8</x:v>
      </x:c>
      <x:c r="V23" s="36" t="str">
        <x:v>IMG-210-20-3</x:v>
      </x:c>
      <x:c r="W23" s="37" t="str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H3:T4"/>
    <x:mergeCell ref="B18:F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2">
      <x:c r="F2" s="289" t="str">
        <x:v>올리브 럼/토핑/코팅 판매율 + 원가상승</x:v>
      </x:c>
      <x:c r="G2" s="290"/>
      <x:c r="H2" s="290"/>
      <x:c r="I2" s="290"/>
      <x:c r="J2" s="290"/>
      <x:c r="K2" s="290"/>
      <x:c r="L2" s="290"/>
      <x:c r="M2" s="290"/>
      <x:c r="N2" s="290"/>
      <x:c r="O2" s="290"/>
      <x:c r="P2" s="291"/>
    </x:row>
    <x:row r="3">
      <x:c r="F3" s="292"/>
      <x:c r="G3" s="293"/>
      <x:c r="H3" s="293"/>
      <x:c r="I3" s="293"/>
      <x:c r="J3" s="293"/>
      <x:c r="K3" s="293"/>
      <x:c r="L3" s="293"/>
      <x:c r="M3" s="293"/>
      <x:c r="N3" s="293"/>
      <x:c r="O3" s="293"/>
      <x:c r="P3" s="294"/>
    </x:row>
    <x:row r="6">
      <x:c r="F6" s="214" t="str">
        <x:v>Option</x:v>
      </x:c>
      <x:c r="G6" s="215" t="str">
        <x:v>add.cost</x:v>
      </x:c>
      <x:c r="H6" s="215" t="str">
        <x:v>base.cost</x:v>
      </x:c>
      <x:c r="I6" s="215" t="str">
        <x:v>↑cost%</x:v>
      </x:c>
      <x:c r="J6" s="215" t="str">
        <x:v>sales%</x:v>
      </x:c>
      <x:c r="K6" s="215" t="str">
        <x:v>repeat.idx</x:v>
      </x:c>
      <x:c r="L6" s="215" t="str">
        <x:v>ticket</x:v>
      </x:c>
      <x:c r="M6" s="215" t="str">
        <x:v>memo</x:v>
      </x:c>
      <x:c r="N6" s="215" t="str">
        <x:v>remark</x:v>
      </x:c>
      <x:c r="O6" s="216" t="str">
        <x:v>flag</x:v>
      </x:c>
    </x:row>
    <x:row r="7">
      <x:c r="F7" s="332" t="str"/>
      <x:c r="G7" s="333" t="str">
        <x:v>₩/ea</x:v>
      </x:c>
      <x:c r="H7" s="333" t="str">
        <x:v>₩/ea</x:v>
      </x:c>
      <x:c r="I7" s="333" t="str">
        <x:v>%</x:v>
      </x:c>
      <x:c r="J7" s="333" t="str">
        <x:v>%</x:v>
      </x:c>
      <x:c r="K7" s="333" t="str">
        <x:v>idx</x:v>
      </x:c>
      <x:c r="L7" s="333" t="str">
        <x:v>₩</x:v>
      </x:c>
      <x:c r="M7" s="333" t="str"/>
      <x:c r="N7" s="333" t="str"/>
      <x:c r="O7" s="334" t="str"/>
    </x:row>
    <x:row r="8">
      <x:c r="F8" s="12" t="str">
        <x:v>기본</x:v>
      </x:c>
      <x:c r="G8" s="13" t="n">
        <x:v>0.8</x:v>
      </x:c>
      <x:c r="H8" s="13" t="n">
        <x:v>435.2</x:v>
      </x:c>
      <x:c r="I8" s="13" t="n">
        <x:v>0.2</x:v>
      </x:c>
      <x:c r="J8" s="13" t="n">
        <x:v>68.8</x:v>
      </x:c>
      <x:c r="K8" s="13" t="n">
        <x:v>0.67</x:v>
      </x:c>
      <x:c r="L8" s="13" t="n">
        <x:v>1180</x:v>
      </x:c>
      <x:c r="M8" s="13" t="str">
        <x:v>선물용</x:v>
      </x:c>
      <x:c r="N8" s="13" t="str">
        <x:v>RUM</x:v>
      </x:c>
      <x:c r="O8" s="14" t="str"/>
    </x:row>
    <x:row r="9">
      <x:c r="F9" s="15" t="str">
        <x:v>럼 추가</x:v>
      </x:c>
      <x:c r="G9" s="16" t="n">
        <x:v>30.4</x:v>
      </x:c>
      <x:c r="H9" s="16" t="n">
        <x:v>435.2</x:v>
      </x:c>
      <x:c r="I9" s="16" t="n">
        <x:v>7</x:v>
      </x:c>
      <x:c r="J9" s="16" t="n">
        <x:v>75.8</x:v>
      </x:c>
      <x:c r="K9" s="16" t="n">
        <x:v>0.8</x:v>
      </x:c>
      <x:c r="L9" s="16" t="n">
        <x:v>1360</x:v>
      </x:c>
      <x:c r="M9" s="16" t="str">
        <x:v>재구매?</x:v>
      </x:c>
      <x:c r="N9" s="16" t="str">
        <x:v>est.</x:v>
      </x:c>
      <x:c r="O9" s="17" t="str"/>
    </x:row>
    <x:row r="10">
      <x:c r="F10" s="15" t="str">
        <x:v>설탕 코팅</x:v>
      </x:c>
      <x:c r="G10" s="16" t="n">
        <x:v>18.2</x:v>
      </x:c>
      <x:c r="H10" s="16" t="n">
        <x:v>435.2</x:v>
      </x:c>
      <x:c r="I10" s="16" t="n">
        <x:v>4.2</x:v>
      </x:c>
      <x:c r="J10" s="16" t="n">
        <x:v>70.8</x:v>
      </x:c>
      <x:c r="K10" s="16" t="n">
        <x:v>0.77</x:v>
      </x:c>
      <x:c r="L10" s="16" t="n">
        <x:v>1260</x:v>
      </x:c>
      <x:c r="M10" s="16" t="str"/>
      <x:c r="N10" s="16" t="str">
        <x:v>RUM</x:v>
      </x:c>
      <x:c r="O10" s="17" t="str"/>
    </x:row>
    <x:row r="11">
      <x:c r="F11" s="15" t="str">
        <x:v>토핑</x:v>
      </x:c>
      <x:c r="G11" s="16" t="n">
        <x:v>37.6</x:v>
      </x:c>
      <x:c r="H11" s="16" t="n">
        <x:v>435.2</x:v>
      </x:c>
      <x:c r="I11" s="16" t="n">
        <x:v>8.6</x:v>
      </x:c>
      <x:c r="J11" s="16" t="n">
        <x:v>75.4</x:v>
      </x:c>
      <x:c r="K11" s="16" t="n">
        <x:v>0.81</x:v>
      </x:c>
      <x:c r="L11" s="16" t="n">
        <x:v>1410</x:v>
      </x:c>
      <x:c r="M11" s="16" t="str">
        <x:v>원가부담</x:v>
      </x:c>
      <x:c r="N11" s="16" t="str">
        <x:v>manual</x:v>
      </x:c>
      <x:c r="O11" s="17" t="str"/>
    </x:row>
    <x:row r="12">
      <x:c r="F12" s="15" t="str">
        <x:v>럼+토핑</x:v>
      </x:c>
      <x:c r="G12" s="16" t="n">
        <x:v>58.9</x:v>
      </x:c>
      <x:c r="H12" s="16" t="n">
        <x:v>435.2</x:v>
      </x:c>
      <x:c r="I12" s="16" t="n">
        <x:v>13.5</x:v>
      </x:c>
      <x:c r="J12" s="16" t="n">
        <x:v>83.3</x:v>
      </x:c>
      <x:c r="K12" s="16" t="n">
        <x:v>0.81</x:v>
      </x:c>
      <x:c r="L12" s="16" t="n">
        <x:v>1480</x:v>
      </x:c>
      <x:c r="M12" s="16" t="str"/>
      <x:c r="N12" s="16" t="str">
        <x:v>RUM</x:v>
      </x:c>
      <x:c r="O12" s="17" t="str">
        <x:v>★</x:v>
      </x:c>
    </x:row>
    <x:row r="13">
      <x:c r="F13" s="18" t="str">
        <x:v>코팅+토핑</x:v>
      </x:c>
      <x:c r="G13" s="19" t="n">
        <x:v>51.9</x:v>
      </x:c>
      <x:c r="H13" s="19" t="n">
        <x:v>435.2</x:v>
      </x:c>
      <x:c r="I13" s="19" t="n">
        <x:v>11.9</x:v>
      </x:c>
      <x:c r="J13" s="19" t="n">
        <x:v>74.8</x:v>
      </x:c>
      <x:c r="K13" s="19" t="n">
        <x:v>0.82</x:v>
      </x:c>
      <x:c r="L13" s="19" t="n">
        <x:v>1410</x:v>
      </x:c>
      <x:c r="M13" s="19" t="str"/>
      <x:c r="N13" s="19" t="str">
        <x:v>est.</x:v>
      </x:c>
      <x:c r="O13" s="20" t="str"/>
    </x:row>
  </x:sheetData>
  <x:mergeCells>
    <x:mergeCell ref="F2:P3"/>
  </x:mergeCells>
  <x:pageMargins left="0.7" right="0.7" top="0.75" bottom="0.75" header="0.3" footer="0.3"/>
  <x:drawing xmlns:r="http://schemas.openxmlformats.org/officeDocument/2006/relationships" r:id="Rf868f13c0ace4482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C3" s="369" t="str">
        <x:v>올리브 참고 / photo &amp; material memo</x:v>
      </x:c>
      <x:c r="D3" s="370"/>
      <x:c r="E3" s="370"/>
      <x:c r="F3" s="370"/>
      <x:c r="G3" s="370"/>
      <x:c r="H3" s="370"/>
      <x:c r="I3" s="370"/>
      <x:c r="J3" s="370"/>
      <x:c r="K3" s="370"/>
      <x:c r="L3" s="371"/>
    </x:row>
    <x:row r="4">
      <x:c r="C4" s="372"/>
      <x:c r="D4" s="373"/>
      <x:c r="E4" s="373"/>
      <x:c r="F4" s="373"/>
      <x:c r="G4" s="373"/>
      <x:c r="H4" s="373"/>
      <x:c r="I4" s="373"/>
      <x:c r="J4" s="373"/>
      <x:c r="K4" s="373"/>
      <x:c r="L4" s="374"/>
    </x:row>
    <x:row r="16">
      <x:c r="C16" s="12" t="str">
        <x:v>메모</x:v>
      </x:c>
      <x:c r="D16" s="13" t="str">
        <x:v>내용</x:v>
      </x:c>
      <x:c r="E16" s="13" t="str"/>
      <x:c r="F16" s="13" t="str"/>
      <x:c r="G16" s="13" t="str"/>
      <x:c r="H16" s="14" t="str"/>
    </x:row>
    <x:row r="17">
      <x:c r="C17" s="15" t="str">
        <x:v>1</x:v>
      </x:c>
      <x:c r="D17" s="16" t="str">
        <x:v>색이 실제보다 밝게 찍힘</x:v>
      </x:c>
      <x:c r="E17" s="16" t="str"/>
      <x:c r="F17" s="16" t="str"/>
      <x:c r="G17" s="16" t="str"/>
      <x:c r="H17" s="17" t="str"/>
    </x:row>
    <x:row r="18">
      <x:c r="C18" s="15" t="str">
        <x:v>2</x:v>
      </x:c>
      <x:c r="D18" s="16" t="str">
        <x:v>토핑 사진은 다른 batch</x:v>
      </x:c>
      <x:c r="E18" s="16" t="str"/>
      <x:c r="F18" s="16" t="str"/>
      <x:c r="G18" s="16" t="str"/>
      <x:c r="H18" s="17" t="str"/>
    </x:row>
    <x:row r="19">
      <x:c r="C19" s="15" t="str">
        <x:v>3</x:v>
      </x:c>
      <x:c r="D19" s="16" t="str">
        <x:v>원료 package 단위 kg/봉 혼용</x:v>
      </x:c>
      <x:c r="E19" s="16" t="str"/>
      <x:c r="F19" s="16" t="str"/>
      <x:c r="G19" s="16" t="str"/>
      <x:c r="H19" s="17" t="str"/>
    </x:row>
    <x:row r="20">
      <x:c r="C20" s="15" t="str">
        <x:v>4</x:v>
      </x:c>
      <x:c r="D20" s="16" t="str">
        <x:v>source?</x:v>
      </x:c>
      <x:c r="E20" s="16" t="str">
        <x:v>직접촬영 예정</x:v>
      </x:c>
      <x:c r="F20" s="16" t="str"/>
      <x:c r="G20" s="16" t="str"/>
      <x:c r="H20" s="17" t="str"/>
    </x:row>
    <x:row r="21">
      <x:c r="C21" s="18" t="str">
        <x:v>5</x:v>
      </x:c>
      <x:c r="D21" s="19" t="str">
        <x:v>delete later?</x:v>
      </x:c>
      <x:c r="E21" s="19" t="str">
        <x:v>NO</x:v>
      </x:c>
      <x:c r="F21" s="19" t="str"/>
      <x:c r="G21" s="19" t="str"/>
      <x:c r="H21" s="20" t="str"/>
    </x:row>
  </x:sheetData>
  <x:mergeCells>
    <x:mergeCell ref="C3:L4"/>
  </x:mergeCells>
  <x:pageMargins left="0.7" right="0.7" top="0.75" bottom="0.75" header="0.3" footer="0.3"/>
  <x:drawing xmlns:r="http://schemas.openxmlformats.org/officeDocument/2006/relationships" r:id="R8b1d1070a7314625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B3" s="416" t="str">
        <x:v>작업/메모</x:v>
      </x:c>
      <x:c r="C3" s="417" t="str">
        <x:v>올리브</x:v>
      </x:c>
      <x:c r="D3" s="417" t="str"/>
      <x:c r="E3" s="417" t="str"/>
      <x:c r="F3" s="417" t="str"/>
      <x:c r="G3" s="417" t="str"/>
      <x:c r="H3" s="418" t="str"/>
    </x:row>
    <x:row r="4">
      <x:c r="B4" s="15" t="str">
        <x:v>TODO</x:v>
      </x:c>
      <x:c r="C4" s="16" t="str">
        <x:v>probe 위치 재확인</x:v>
      </x:c>
      <x:c r="D4" s="16" t="str">
        <x:v>priority</x:v>
      </x:c>
      <x:c r="E4" s="16" t="str">
        <x:v>HIGH</x:v>
      </x:c>
      <x:c r="F4" s="16" t="str"/>
      <x:c r="G4" s="16" t="str"/>
      <x:c r="H4" s="17" t="str"/>
    </x:row>
    <x:row r="5">
      <x:c r="B5" s="15" t="str">
        <x:v>NOTE</x:v>
      </x:c>
      <x:c r="C5" s="16" t="str">
        <x:v>일부 sheet 명 바꾸지 말 것</x:v>
      </x:c>
      <x:c r="D5" s="16" t="str"/>
      <x:c r="E5" s="16" t="str"/>
      <x:c r="F5" s="16" t="str"/>
      <x:c r="G5" s="16" t="str"/>
      <x:c r="H5" s="17" t="str"/>
    </x:row>
    <x:row r="6">
      <x:c r="B6" s="15" t="str">
        <x:v>temp gap</x:v>
      </x:c>
      <x:c r="C6" s="16" t="str">
        <x:v>실험 없는 온도 존재</x:v>
      </x:c>
      <x:c r="D6" s="16" t="str">
        <x:v>reason</x:v>
      </x:c>
      <x:c r="E6" s="16" t="str">
        <x:v>시간부족</x:v>
      </x:c>
      <x:c r="F6" s="16" t="str"/>
      <x:c r="G6" s="16" t="str"/>
      <x:c r="H6" s="17" t="str"/>
    </x:row>
    <x:row r="7">
      <x:c r="B7" s="15" t="str">
        <x:v>data</x:v>
      </x:c>
      <x:c r="C7" s="16" t="str">
        <x:v>사진/수기/수식 혼합</x:v>
      </x:c>
      <x:c r="D7" s="16" t="str"/>
      <x:c r="E7" s="16" t="str"/>
      <x:c r="F7" s="16" t="str"/>
      <x:c r="G7" s="16" t="str"/>
      <x:c r="H7" s="17" t="str"/>
    </x:row>
    <x:row r="8">
      <x:c r="B8" s="15" t="str">
        <x:v>owner</x:v>
      </x:c>
      <x:c r="C8" s="16" t="str">
        <x:v>미상</x:v>
      </x:c>
      <x:c r="D8" s="16" t="str">
        <x:v>date</x:v>
      </x:c>
      <x:c r="E8" s="16" t="str">
        <x:v>2026-09</x:v>
      </x:c>
      <x:c r="F8" s="16" t="str"/>
      <x:c r="G8" s="16" t="str"/>
      <x:c r="H8" s="17" t="str"/>
    </x:row>
    <x:row r="9">
      <x:c r="B9" s="15" t="str">
        <x:v>!!!</x:v>
      </x:c>
      <x:c r="C9" s="16" t="str">
        <x:v>색상 자체가 정보임</x:v>
      </x:c>
      <x:c r="D9" s="16" t="str"/>
      <x:c r="E9" s="16" t="str"/>
      <x:c r="F9" s="16" t="str"/>
      <x:c r="G9" s="16" t="str"/>
      <x:c r="H9" s="17" t="str"/>
    </x:row>
    <x:row r="10">
      <x:c r="B10" s="18" t="str">
        <x:v>old</x:v>
      </x:c>
      <x:c r="C10" s="19" t="str">
        <x:v>지우지 말 것</x:v>
      </x:c>
      <x:c r="D10" s="19" t="str"/>
      <x:c r="E10" s="19" t="str"/>
      <x:c r="F10" s="19" t="str"/>
      <x:c r="G10" s="19" t="str"/>
      <x:c r="H10" s="20" t="str"/>
    </x:row>
  </x:sheetData>
  <x:pageMargins left="0.7" right="0.7" top="0.75" bottom="0.75" header="0.3" footer="0.3"/>
</x:worksheet>
</file>