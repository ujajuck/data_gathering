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846926078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-final2" sheetId="1" r:id="R19ec8ff47a3142c2"/>
    <x:sheet xmlns:r="http://schemas.openxmlformats.org/officeDocument/2006/relationships" name="원가_new" sheetId="2" r:id="R09d907fe8b604767"/>
    <x:sheet xmlns:r="http://schemas.openxmlformats.org/officeDocument/2006/relationships" name="180C" sheetId="3" r:id="Ra8d9a2100008468d"/>
    <x:sheet xmlns:r="http://schemas.openxmlformats.org/officeDocument/2006/relationships" name="185-1" sheetId="4" r:id="R0b0aa281b36b49b9"/>
    <x:sheet xmlns:r="http://schemas.openxmlformats.org/officeDocument/2006/relationships" name="oven190" sheetId="5" r:id="R9b869ec4546c4db2"/>
    <x:sheet xmlns:r="http://schemas.openxmlformats.org/officeDocument/2006/relationships" name="195℃" sheetId="6" r:id="R988c1c39513f4e2a"/>
    <x:sheet xmlns:r="http://schemas.openxmlformats.org/officeDocument/2006/relationships" name="200C-final" sheetId="7" r:id="Rb785adc93f1046d0"/>
    <x:sheet xmlns:r="http://schemas.openxmlformats.org/officeDocument/2006/relationships" name="T205" sheetId="8" r:id="Rf4a11268e695442d"/>
    <x:sheet xmlns:r="http://schemas.openxmlformats.org/officeDocument/2006/relationships" name="210" sheetId="9" r:id="Rf4430f5f41a04864"/>
    <x:sheet xmlns:r="http://schemas.openxmlformats.org/officeDocument/2006/relationships" name="Rum_Topping_TEST" sheetId="10" r:id="R773d9c18f2e84e19"/>
    <x:sheet xmlns:r="http://schemas.openxmlformats.org/officeDocument/2006/relationships" name="coffee_notes" sheetId="11" r:id="Rb2914d73472a473e"/>
    <x:sheet xmlns:r="http://schemas.openxmlformats.org/officeDocument/2006/relationships" name="온도계보정" sheetId="12" r:id="R08dfcf58d5d647b2"/>
    <x:sheet xmlns:r="http://schemas.openxmlformats.org/officeDocument/2006/relationships" name="패키지_오리&amp;단순" sheetId="13" r:id="Rd8d64525098c48d3"/>
    <x:sheet xmlns:r="http://schemas.openxmlformats.org/officeDocument/2006/relationships" name="메모_포장외" sheetId="14" r:id="R1d9cc01a4709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i/>
      <x:sz val="10"/>
      <x:color rgb="FF7F6000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0"/>
      <x:color rgb="FF000000"/>
      <x:name val="Carlito"/>
    </x:font>
    <x:font>
      <x:b/>
      <x:sz val="11"/>
      <x:color rgb="FF5B3A1A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A0522D"/>
      </x:patternFill>
    </x:fill>
    <x:fill>
      <x:patternFill patternType="solid">
        <x:fgColor rgb="FF8E5A2B"/>
      </x:patternFill>
    </x:fill>
    <x:fill>
      <x:patternFill patternType="solid">
        <x:fgColor rgb="FFC00000"/>
      </x:patternFill>
    </x:fill>
    <x:fill>
      <x:patternFill patternType="solid">
        <x:fgColor rgb="FFD9E2F3"/>
      </x:patternFill>
    </x:fill>
    <x:fill>
      <x:patternFill patternType="solid">
        <x:fgColor rgb="FF7F7F7F"/>
      </x:patternFill>
    </x:fill>
    <x:fill>
      <x:patternFill patternType="solid">
        <x:fgColor rgb="FF6B4F2A"/>
      </x:patternFill>
    </x:fill>
    <x:fill>
      <x:patternFill patternType="solid">
        <x:fgColor rgb="FFF4E1C1"/>
      </x:patternFill>
    </x:fill>
    <x:fill>
      <x:patternFill patternType="solid">
        <x:fgColor rgb="FFA0522D"/>
      </x:patternFill>
    </x:fill>
    <x:fill>
      <x:patternFill patternType="solid">
        <x:fgColor rgb="FF806000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7F7F7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2" fillId="4" borderId="19" xfId="0" applyNumberFormat="1" applyFont="1" applyFill="1" applyBorder="1" applyAlignment="1">
      <x:alignment horizontal="center" vertical="center" wrapText="1"/>
    </x:xf>
    <x:xf numFmtId="0" fontId="2" fillId="4" borderId="2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3" fillId="4" borderId="19" xfId="0" applyNumberFormat="1" applyFont="1" applyFill="1" applyBorder="1" applyAlignment="1">
      <x:alignment horizontal="center" vertic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3" fillId="4" borderId="18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2" fillId="4" borderId="22" xfId="0" applyNumberFormat="1" applyFont="1" applyFill="1" applyBorder="1" applyAlignment="1">
      <x:alignment horizontal="center" vertical="center" wrapText="1"/>
    </x:xf>
    <x:xf numFmtId="0" fontId="2" fillId="4" borderId="2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4" xfId="0" applyNumberFormat="1" applyFont="1" applyFill="1" applyBorder="1"/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4" xfId="0" applyNumberFormat="1" applyFont="1" applyFill="1" applyBorder="1"/>
    <x:xf numFmtId="0" fontId="3" fillId="4" borderId="21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/>
    <x:xf numFmtId="0" fontId="4" fillId="4" borderId="13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20" xfId="0" applyNumberFormat="1" applyFont="1" applyFill="1" applyBorder="1"/>
    <x:xf numFmtId="0" fontId="2" fillId="6" borderId="18" xfId="0" applyNumberFormat="1" applyFont="1" applyFill="1" applyBorder="1" applyAlignment="1">
      <x:alignment wrapText="1"/>
    </x:xf>
    <x:xf numFmtId="0" fontId="2" fillId="6" borderId="19" xfId="0" applyNumberFormat="1" applyFont="1" applyFill="1" applyBorder="1" applyAlignment="1">
      <x:alignment wrapText="1"/>
    </x:xf>
    <x:xf numFmtId="0" fontId="2" fillId="6" borderId="20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horizontal="center" wrapText="1"/>
    </x:xf>
    <x:xf numFmtId="0" fontId="2" fillId="6" borderId="19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18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21" xfId="0" applyNumberFormat="1" applyFont="1" applyFill="1" applyBorder="1"/>
    <x:xf numFmtId="0" fontId="2" fillId="6" borderId="22" xfId="0" applyNumberFormat="1" applyFont="1" applyFill="1" applyBorder="1"/>
    <x:xf numFmtId="0" fontId="2" fillId="6" borderId="23" xfId="0" applyNumberFormat="1" applyFont="1" applyFill="1" applyBorder="1"/>
    <x:xf numFmtId="0" fontId="2" fillId="6" borderId="21" xfId="0" applyNumberFormat="1" applyFont="1" applyFill="1" applyBorder="1" applyAlignment="1">
      <x:alignment wrapText="1"/>
    </x:xf>
    <x:xf numFmtId="0" fontId="2" fillId="6" borderId="22" xfId="0" applyNumberFormat="1" applyFont="1" applyFill="1" applyBorder="1" applyAlignment="1">
      <x:alignment wrapText="1"/>
    </x:xf>
    <x:xf numFmtId="0" fontId="2" fillId="6" borderId="23" xfId="0" applyNumberFormat="1" applyFont="1" applyFill="1" applyBorder="1" applyAlignment="1">
      <x:alignment wrapText="1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borderId="22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1" xfId="0" applyNumberFormat="1" applyFont="1" applyFill="1" applyBorder="1" applyAlignment="1">
      <x:alignment horizontal="center" wrapText="1"/>
    </x:xf>
    <x:xf numFmtId="0" fontId="5" fillId="7" borderId="12" xfId="0" applyNumberFormat="1" applyFont="1" applyFill="1" applyBorder="1" applyAlignment="1">
      <x:alignment horizontal="center" wrapText="1"/>
    </x:xf>
    <x:xf numFmtId="0" fontId="5" fillId="7" borderId="15" xfId="0" applyNumberFormat="1" applyFont="1" applyFill="1" applyBorder="1" applyAlignment="1">
      <x:alignment horizontal="center" wrapText="1"/>
    </x:xf>
    <x:xf numFmtId="0" fontId="5" fillId="7" borderId="16" xfId="0" applyNumberFormat="1" applyFont="1" applyFill="1" applyBorder="1" applyAlignment="1">
      <x:alignment horizontal="center" wrapText="1"/>
    </x:xf>
    <x:xf numFmtId="0" fontId="5" fillId="7" borderId="17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5" fillId="7" borderId="16" xfId="0" applyNumberFormat="1" applyFont="1" applyFill="1" applyBorder="1" applyAlignment="1">
      <x:alignment horizontal="center" vertical="center" wrapText="1"/>
    </x:xf>
    <x:xf numFmtId="0" fontId="5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2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horizontal="center" wrapText="1"/>
    </x:xf>
    <x:xf numFmtId="0" fontId="5" fillId="8" borderId="4" xfId="0" applyNumberFormat="1" applyFont="1" applyFill="1" applyBorder="1" applyAlignment="1">
      <x:alignment horizontal="center" wrapText="1"/>
    </x:xf>
    <x:xf numFmtId="0" fontId="5" fillId="8" borderId="7" xfId="0" applyNumberFormat="1" applyFont="1" applyFill="1" applyBorder="1" applyAlignment="1">
      <x:alignment horizontal="center" wrapText="1"/>
    </x:xf>
    <x:xf numFmtId="0" fontId="5" fillId="8" borderId="8" xfId="0" applyNumberFormat="1" applyFont="1" applyFill="1" applyBorder="1" applyAlignment="1">
      <x:alignment horizontal="center" wrapText="1"/>
    </x:xf>
    <x:xf numFmtId="0" fontId="5" fillId="8" borderId="9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horizontal="center" wrapText="1"/>
    </x:xf>
    <x:xf numFmtId="0" fontId="5" fillId="8" borderId="11" xfId="0" applyNumberFormat="1" applyFont="1" applyFill="1" applyBorder="1" applyAlignment="1">
      <x:alignment horizontal="center" wrapText="1"/>
    </x:xf>
    <x:xf numFmtId="0" fontId="5" fillId="8" borderId="12" xfId="0" applyNumberFormat="1" applyFont="1" applyFill="1" applyBorder="1" applyAlignment="1">
      <x:alignment horizontal="center" wrapText="1"/>
    </x:xf>
    <x:xf numFmtId="0" fontId="5" fillId="8" borderId="15" xfId="0" applyNumberFormat="1" applyFont="1" applyFill="1" applyBorder="1" applyAlignment="1">
      <x:alignment horizontal="center" wrapText="1"/>
    </x:xf>
    <x:xf numFmtId="0" fontId="5" fillId="8" borderId="16" xfId="0" applyNumberFormat="1" applyFont="1" applyFill="1" applyBorder="1" applyAlignment="1">
      <x:alignment horizontal="center" wrapText="1"/>
    </x:xf>
    <x:xf numFmtId="0" fontId="5" fillId="8" borderId="17" xfId="0" applyNumberFormat="1" applyFont="1" applyFill="1" applyBorder="1" applyAlignment="1">
      <x:alignment horizont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5" fillId="8" borderId="11" xfId="0" applyNumberFormat="1" applyFont="1" applyFill="1" applyBorder="1" applyAlignment="1">
      <x:alignment horizontal="center" vertical="center" wrapText="1"/>
    </x:xf>
    <x:xf numFmtId="0" fontId="5" fillId="8" borderId="12" xfId="0" applyNumberFormat="1" applyFont="1" applyFill="1" applyBorder="1" applyAlignment="1">
      <x:alignment horizontal="center" vertical="center" wrapText="1"/>
    </x:xf>
    <x:xf numFmtId="0" fontId="5" fillId="8" borderId="15" xfId="0" applyNumberFormat="1" applyFont="1" applyFill="1" applyBorder="1" applyAlignment="1">
      <x:alignment horizontal="center" vertical="center" wrapText="1"/>
    </x:xf>
    <x:xf numFmtId="0" fontId="5" fillId="8" borderId="16" xfId="0" applyNumberFormat="1" applyFont="1" applyFill="1" applyBorder="1" applyAlignment="1">
      <x:alignment horizontal="center" vertical="center" wrapText="1"/>
    </x:xf>
    <x:xf numFmtId="0" fontId="5" fillId="8" borderId="1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8" xfId="0" applyNumberFormat="1" applyFont="1" applyFill="1" applyBorder="1"/>
    <x:xf numFmtId="0" fontId="7" fillId="9" borderId="19" xfId="0" applyNumberFormat="1" applyFont="1" applyFill="1" applyBorder="1"/>
    <x:xf numFmtId="0" fontId="7" fillId="9" borderId="20" xfId="0" applyNumberFormat="1" applyFont="1" applyFill="1" applyBorder="1"/>
    <x:xf numFmtId="0" fontId="7" fillId="9" borderId="18" xfId="0" applyNumberFormat="1" applyFont="1" applyFill="1" applyBorder="1" applyAlignment="1">
      <x:alignment wrapText="1"/>
    </x:xf>
    <x:xf numFmtId="0" fontId="7" fillId="9" borderId="19" xfId="0" applyNumberFormat="1" applyFont="1" applyFill="1" applyBorder="1" applyAlignment="1">
      <x:alignment wrapText="1"/>
    </x:xf>
    <x:xf numFmtId="0" fontId="7" fillId="9" borderId="20" xfId="0" applyNumberFormat="1" applyFont="1" applyFill="1" applyBorder="1" applyAlignment="1">
      <x:alignment wrapText="1"/>
    </x:xf>
    <x:xf numFmtId="0" fontId="7" fillId="9" borderId="18" xfId="0" applyNumberFormat="1" applyFont="1" applyFill="1" applyBorder="1" applyAlignment="1">
      <x:alignment horizontal="center" wrapText="1"/>
    </x:xf>
    <x:xf numFmtId="0" fontId="7" fillId="9" borderId="19" xfId="0" applyNumberFormat="1" applyFont="1" applyFill="1" applyBorder="1" applyAlignment="1">
      <x:alignment horizontal="center" wrapText="1"/>
    </x:xf>
    <x:xf numFmtId="0" fontId="7" fillId="9" borderId="20" xfId="0" applyNumberFormat="1" applyFont="1" applyFill="1" applyBorder="1" applyAlignment="1">
      <x:alignment horizontal="center" wrapText="1"/>
    </x:xf>
    <x:xf numFmtId="0" fontId="7" fillId="9" borderId="18" xfId="0" applyNumberFormat="1" applyFont="1" applyFill="1" applyBorder="1" applyAlignment="1">
      <x:alignment horizontal="center" vertical="center" wrapText="1"/>
    </x:xf>
    <x:xf numFmtId="0" fontId="7" fillId="9" borderId="19" xfId="0" applyNumberFormat="1" applyFont="1" applyFill="1" applyBorder="1" applyAlignment="1">
      <x:alignment horizontal="center" vertical="center" wrapText="1"/>
    </x:xf>
    <x:xf numFmtId="0" fontId="7" fillId="9" borderId="2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21" xfId="0" applyNumberFormat="1" applyFont="1" applyFill="1" applyBorder="1"/>
    <x:xf numFmtId="0" fontId="7" fillId="9" borderId="22" xfId="0" applyNumberFormat="1" applyFont="1" applyFill="1" applyBorder="1"/>
    <x:xf numFmtId="0" fontId="7" fillId="9" borderId="23" xfId="0" applyNumberFormat="1" applyFont="1" applyFill="1" applyBorder="1"/>
    <x:xf numFmtId="0" fontId="7" fillId="9" borderId="21" xfId="0" applyNumberFormat="1" applyFont="1" applyFill="1" applyBorder="1" applyAlignment="1">
      <x:alignment wrapText="1"/>
    </x:xf>
    <x:xf numFmtId="0" fontId="7" fillId="9" borderId="22" xfId="0" applyNumberFormat="1" applyFont="1" applyFill="1" applyBorder="1" applyAlignment="1">
      <x:alignment wrapText="1"/>
    </x:xf>
    <x:xf numFmtId="0" fontId="7" fillId="9" borderId="23" xfId="0" applyNumberFormat="1" applyFont="1" applyFill="1" applyBorder="1" applyAlignment="1">
      <x:alignment wrapText="1"/>
    </x:xf>
    <x:xf numFmtId="0" fontId="7" fillId="9" borderId="21" xfId="0" applyNumberFormat="1" applyFont="1" applyFill="1" applyBorder="1" applyAlignment="1">
      <x:alignment horizontal="center" wrapText="1"/>
    </x:xf>
    <x:xf numFmtId="0" fontId="7" fillId="9" borderId="22" xfId="0" applyNumberFormat="1" applyFont="1" applyFill="1" applyBorder="1" applyAlignment="1">
      <x:alignment horizontal="center" wrapText="1"/>
    </x:xf>
    <x:xf numFmtId="0" fontId="7" fillId="9" borderId="23" xfId="0" applyNumberFormat="1" applyFont="1" applyFill="1" applyBorder="1" applyAlignment="1">
      <x:alignment horizontal="center" wrapText="1"/>
    </x:xf>
    <x:xf numFmtId="0" fontId="7" fillId="9" borderId="21" xfId="0" applyNumberFormat="1" applyFont="1" applyFill="1" applyBorder="1" applyAlignment="1">
      <x:alignment horizontal="center" vertical="center" wrapText="1"/>
    </x:xf>
    <x:xf numFmtId="0" fontId="7" fillId="9" borderId="22" xfId="0" applyNumberFormat="1" applyFont="1" applyFill="1" applyBorder="1" applyAlignment="1">
      <x:alignment horizontal="center" vertical="center" wrapText="1"/>
    </x:xf>
    <x:xf numFmtId="0" fontId="7" fillId="9" borderId="23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18" xfId="0" applyNumberFormat="1" applyFont="1" applyFill="1" applyBorder="1"/>
    <x:xf numFmtId="0" fontId="2" fillId="10" borderId="19" xfId="0" applyNumberFormat="1" applyFont="1" applyFill="1" applyBorder="1"/>
    <x:xf numFmtId="0" fontId="2" fillId="10" borderId="20" xfId="0" applyNumberFormat="1" applyFont="1" applyFill="1" applyBorder="1"/>
    <x:xf numFmtId="0" fontId="2" fillId="10" borderId="18" xfId="0" applyNumberFormat="1" applyFont="1" applyFill="1" applyBorder="1" applyAlignment="1">
      <x:alignment wrapText="1"/>
    </x:xf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18" xfId="0" applyNumberFormat="1" applyFont="1" applyFill="1" applyBorder="1" applyAlignment="1">
      <x:alignment horizontal="center" wrapText="1"/>
    </x:xf>
    <x:xf numFmtId="0" fontId="2" fillId="10" borderId="19" xfId="0" applyNumberFormat="1" applyFont="1" applyFill="1" applyBorder="1" applyAlignment="1">
      <x:alignment horizontal="center" wrapText="1"/>
    </x:xf>
    <x:xf numFmtId="0" fontId="2" fillId="10" borderId="20" xfId="0" applyNumberFormat="1" applyFont="1" applyFill="1" applyBorder="1" applyAlignment="1">
      <x:alignment horizontal="center" wrapText="1"/>
    </x:xf>
    <x:xf numFmtId="0" fontId="2" fillId="10" borderId="18" xfId="0" applyNumberFormat="1" applyFont="1" applyFill="1" applyBorder="1" applyAlignment="1">
      <x:alignment horizontal="center" vertical="center" wrapText="1"/>
    </x:xf>
    <x:xf numFmtId="0" fontId="2" fillId="10" borderId="19" xfId="0" applyNumberFormat="1" applyFont="1" applyFill="1" applyBorder="1" applyAlignment="1">
      <x:alignment horizontal="center" vertical="center" wrapText="1"/>
    </x:xf>
    <x:xf numFmtId="0" fontId="2" fillId="10" borderId="20" xfId="0" applyNumberFormat="1" applyFont="1" applyFill="1" applyBorder="1" applyAlignment="1">
      <x:alignment horizontal="center" vertical="center" wrapText="1"/>
    </x:xf>
    <x:xf numFmtId="0" fontId="0" fillId="10" borderId="10" xfId="0" applyNumberFormat="1" applyFont="1" applyFill="1" applyBorder="1"/>
    <x:xf numFmtId="0" fontId="0" fillId="10" borderId="11" xfId="0" applyNumberFormat="1" applyFont="1" applyFill="1" applyBorder="1"/>
    <x:xf numFmtId="0" fontId="0" fillId="10" borderId="12" xfId="0" applyNumberFormat="1" applyFont="1" applyFill="1" applyBorder="1"/>
    <x:xf numFmtId="0" fontId="2" fillId="10" borderId="10" xfId="0" applyNumberFormat="1" applyFont="1" applyFill="1" applyBorder="1"/>
    <x:xf numFmtId="0" fontId="2" fillId="10" borderId="11" xfId="0" applyNumberFormat="1" applyFont="1" applyFill="1" applyBorder="1"/>
    <x:xf numFmtId="0" fontId="2" fillId="10" borderId="12" xfId="0" applyNumberFormat="1" applyFont="1" applyFill="1" applyBorder="1"/>
    <x:xf numFmtId="0" fontId="2" fillId="10" borderId="21" xfId="0" applyNumberFormat="1" applyFont="1" applyFill="1" applyBorder="1"/>
    <x:xf numFmtId="0" fontId="2" fillId="10" borderId="22" xfId="0" applyNumberFormat="1" applyFont="1" applyFill="1" applyBorder="1"/>
    <x:xf numFmtId="0" fontId="2" fillId="10" borderId="23" xfId="0" applyNumberFormat="1" applyFont="1" applyFill="1" applyBorder="1"/>
    <x:xf numFmtId="0" fontId="2" fillId="10" borderId="21" xfId="0" applyNumberFormat="1" applyFont="1" applyFill="1" applyBorder="1" applyAlignment="1">
      <x:alignment wrapText="1"/>
    </x:xf>
    <x:xf numFmtId="0" fontId="2" fillId="10" borderId="22" xfId="0" applyNumberFormat="1" applyFont="1" applyFill="1" applyBorder="1" applyAlignment="1">
      <x:alignment wrapText="1"/>
    </x:xf>
    <x:xf numFmtId="0" fontId="2" fillId="10" borderId="23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horizontal="center" wrapText="1"/>
    </x:xf>
    <x:xf numFmtId="0" fontId="2" fillId="10" borderId="22" xfId="0" applyNumberFormat="1" applyFont="1" applyFill="1" applyBorder="1" applyAlignment="1">
      <x:alignment horizontal="center" wrapText="1"/>
    </x:xf>
    <x:xf numFmtId="0" fontId="2" fillId="10" borderId="23" xfId="0" applyNumberFormat="1" applyFont="1" applyFill="1" applyBorder="1" applyAlignment="1">
      <x:alignment horizontal="center" wrapText="1"/>
    </x:xf>
    <x:xf numFmtId="0" fontId="2" fillId="10" borderId="21" xfId="0" applyNumberFormat="1" applyFont="1" applyFill="1" applyBorder="1" applyAlignment="1">
      <x:alignment horizontal="center" vertical="center" wrapText="1"/>
    </x:xf>
    <x:xf numFmtId="0" fontId="2" fillId="10" borderId="22" xfId="0" applyNumberFormat="1" applyFont="1" applyFill="1" applyBorder="1" applyAlignment="1">
      <x:alignment horizontal="center" vertical="center" wrapText="1"/>
    </x:xf>
    <x:xf numFmtId="0" fontId="2" fillId="10" borderId="2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8" xfId="0" applyNumberFormat="1" applyFont="1" applyFill="1" applyBorder="1"/>
    <x:xf numFmtId="0" fontId="9" fillId="13" borderId="19" xfId="0" applyNumberFormat="1" applyFont="1" applyFill="1" applyBorder="1"/>
    <x:xf numFmtId="0" fontId="9" fillId="13" borderId="20" xfId="0" applyNumberFormat="1" applyFont="1" applyFill="1" applyBorder="1"/>
    <x:xf numFmtId="0" fontId="9" fillId="13" borderId="18" xfId="0" applyNumberFormat="1" applyFont="1" applyFill="1" applyBorder="1" applyAlignment="1">
      <x:alignment wrapText="1"/>
    </x:xf>
    <x:xf numFmtId="0" fontId="9" fillId="13" borderId="19" xfId="0" applyNumberFormat="1" applyFont="1" applyFill="1" applyBorder="1" applyAlignment="1">
      <x:alignment wrapText="1"/>
    </x:xf>
    <x:xf numFmtId="0" fontId="9" fillId="13" borderId="20" xfId="0" applyNumberFormat="1" applyFont="1" applyFill="1" applyBorder="1" applyAlignment="1">
      <x:alignment wrapText="1"/>
    </x:xf>
    <x:xf numFmtId="0" fontId="9" fillId="13" borderId="18" xfId="0" applyNumberFormat="1" applyFont="1" applyFill="1" applyBorder="1" applyAlignment="1">
      <x:alignment horizontal="center" wrapText="1"/>
    </x:xf>
    <x:xf numFmtId="0" fontId="9" fillId="13" borderId="19" xfId="0" applyNumberFormat="1" applyFont="1" applyFill="1" applyBorder="1" applyAlignment="1">
      <x:alignment horizontal="center" wrapText="1"/>
    </x:xf>
    <x:xf numFmtId="0" fontId="9" fillId="13" borderId="20" xfId="0" applyNumberFormat="1" applyFont="1" applyFill="1" applyBorder="1" applyAlignment="1">
      <x:alignment horizontal="center" wrapText="1"/>
    </x:xf>
    <x:xf numFmtId="0" fontId="9" fillId="13" borderId="18" xfId="0" applyNumberFormat="1" applyFont="1" applyFill="1" applyBorder="1" applyAlignment="1">
      <x:alignment horizontal="center" vertical="center" wrapText="1"/>
    </x:xf>
    <x:xf numFmtId="0" fontId="9" fillId="13" borderId="19" xfId="0" applyNumberFormat="1" applyFont="1" applyFill="1" applyBorder="1" applyAlignment="1">
      <x:alignment horizontal="center" vertical="center" wrapText="1"/>
    </x:xf>
    <x:xf numFmtId="0" fontId="9" fillId="13" borderId="2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18" xfId="0" applyNumberFormat="1" applyFont="1" applyFill="1" applyBorder="1"/>
    <x:xf numFmtId="0" fontId="9" fillId="14" borderId="19" xfId="0" applyNumberFormat="1" applyFont="1" applyFill="1" applyBorder="1"/>
    <x:xf numFmtId="0" fontId="9" fillId="14" borderId="20" xfId="0" applyNumberFormat="1" applyFont="1" applyFill="1" applyBorder="1"/>
    <x:xf numFmtId="0" fontId="9" fillId="14" borderId="18" xfId="0" applyNumberFormat="1" applyFont="1" applyFill="1" applyBorder="1" applyAlignment="1">
      <x:alignment wrapText="1"/>
    </x:xf>
    <x:xf numFmtId="0" fontId="9" fillId="14" borderId="19" xfId="0" applyNumberFormat="1" applyFont="1" applyFill="1" applyBorder="1" applyAlignment="1">
      <x:alignment wrapText="1"/>
    </x:xf>
    <x:xf numFmtId="0" fontId="9" fillId="14" borderId="20" xfId="0" applyNumberFormat="1" applyFont="1" applyFill="1" applyBorder="1" applyAlignment="1">
      <x:alignment wrapText="1"/>
    </x:xf>
    <x:xf numFmtId="0" fontId="9" fillId="14" borderId="18" xfId="0" applyNumberFormat="1" applyFont="1" applyFill="1" applyBorder="1" applyAlignment="1">
      <x:alignment horizontal="center" wrapText="1"/>
    </x:xf>
    <x:xf numFmtId="0" fontId="9" fillId="14" borderId="19" xfId="0" applyNumberFormat="1" applyFont="1" applyFill="1" applyBorder="1" applyAlignment="1">
      <x:alignment horizontal="center" wrapText="1"/>
    </x:xf>
    <x:xf numFmtId="0" fontId="9" fillId="14" borderId="20" xfId="0" applyNumberFormat="1" applyFont="1" applyFill="1" applyBorder="1" applyAlignment="1">
      <x:alignment horizontal="center" wrapText="1"/>
    </x:xf>
    <x:xf numFmtId="0" fontId="9" fillId="14" borderId="18" xfId="0" applyNumberFormat="1" applyFont="1" applyFill="1" applyBorder="1" applyAlignment="1">
      <x:alignment horizontal="center" vertical="center" wrapText="1"/>
    </x:xf>
    <x:xf numFmtId="0" fontId="9" fillId="14" borderId="19" xfId="0" applyNumberFormat="1" applyFont="1" applyFill="1" applyBorder="1" applyAlignment="1">
      <x:alignment horizontal="center" vertical="center" wrapText="1"/>
    </x:xf>
    <x:xf numFmtId="0" fontId="9" fillId="14" borderId="2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2" xfId="0" applyNumberFormat="1" applyFont="1" applyFill="1" applyBorder="1"/>
    <x:xf numFmtId="0" fontId="4" fillId="15" borderId="3" xfId="0" applyNumberFormat="1" applyFont="1" applyFill="1" applyBorder="1"/>
    <x:xf numFmtId="0" fontId="4" fillId="15" borderId="4" xfId="0" applyNumberFormat="1" applyFont="1" applyFill="1" applyBorder="1"/>
    <x:xf numFmtId="0" fontId="4" fillId="15" borderId="5" xfId="0" applyNumberFormat="1" applyFont="1" applyFill="1" applyBorder="1"/>
    <x:xf numFmtId="0" fontId="4" fillId="15" xfId="0" applyNumberFormat="1" applyFont="1" applyFill="1" applyBorder="0"/>
    <x:xf numFmtId="0" fontId="4" fillId="15" borderId="6" xfId="0" applyNumberFormat="1" applyFont="1" applyFill="1" applyBorder="1"/>
    <x:xf numFmtId="0" fontId="4" fillId="15" borderId="7" xfId="0" applyNumberFormat="1" applyFont="1" applyFill="1" applyBorder="1"/>
    <x:xf numFmtId="0" fontId="4" fillId="15" borderId="8" xfId="0" applyNumberFormat="1" applyFont="1" applyFill="1" applyBorder="1"/>
    <x:xf numFmtId="0" fontId="4" fillId="15" borderId="9" xfId="0" applyNumberFormat="1" applyFont="1" applyFill="1" applyBorder="1"/>
    <x:xf numFmtId="0" fontId="4" fillId="15" borderId="2" xfId="0" applyNumberFormat="1" applyFont="1" applyFill="1" applyBorder="1" applyAlignment="1">
      <x:alignment wrapText="1"/>
    </x:xf>
    <x:xf numFmtId="0" fontId="4" fillId="15" borderId="3" xfId="0" applyNumberFormat="1" applyFont="1" applyFill="1" applyBorder="1" applyAlignment="1">
      <x:alignment wrapText="1"/>
    </x:xf>
    <x:xf numFmtId="0" fontId="4" fillId="15" borderId="4" xfId="0" applyNumberFormat="1" applyFont="1" applyFill="1" applyBorder="1" applyAlignment="1">
      <x:alignment wrapText="1"/>
    </x:xf>
    <x:xf numFmtId="0" fontId="4" fillId="15" borderId="5" xfId="0" applyNumberFormat="1" applyFont="1" applyFill="1" applyBorder="1" applyAlignment="1">
      <x:alignment wrapText="1"/>
    </x:xf>
    <x:xf numFmtId="0" fontId="4" fillId="15" xfId="0" applyNumberFormat="1" applyFont="1" applyFill="1" applyBorder="0" applyAlignment="1">
      <x:alignment wrapText="1"/>
    </x:xf>
    <x:xf numFmtId="0" fontId="4" fillId="15" borderId="6" xfId="0" applyNumberFormat="1" applyFont="1" applyFill="1" applyBorder="1" applyAlignment="1">
      <x:alignment wrapText="1"/>
    </x:xf>
    <x:xf numFmtId="0" fontId="4" fillId="15" borderId="7" xfId="0" applyNumberFormat="1" applyFont="1" applyFill="1" applyBorder="1" applyAlignment="1">
      <x:alignment wrapText="1"/>
    </x:xf>
    <x:xf numFmtId="0" fontId="4" fillId="15" borderId="8" xfId="0" applyNumberFormat="1" applyFont="1" applyFill="1" applyBorder="1" applyAlignment="1">
      <x:alignment wrapText="1"/>
    </x:xf>
    <x:xf numFmtId="0" fontId="4" fillId="15" borderId="9" xfId="0" applyNumberFormat="1" applyFont="1" applyFill="1" applyBorder="1" applyAlignment="1">
      <x:alignment wrapText="1"/>
    </x:xf>
    <x:xf numFmtId="0" fontId="0" fillId="16" borderId="2" xfId="0" applyNumberFormat="1" applyFont="1" applyFill="1" applyBorder="1"/>
    <x:xf numFmtId="0" fontId="0" fillId="16" borderId="3" xfId="0" applyNumberFormat="1" applyFont="1" applyFill="1" applyBorder="1"/>
    <x:xf numFmtId="0" fontId="0" fillId="16" borderId="4" xfId="0" applyNumberFormat="1" applyFont="1" applyFill="1" applyBorder="1"/>
    <x:xf numFmtId="0" fontId="10" fillId="16" borderId="2" xfId="0" applyNumberFormat="1" applyFont="1" applyFill="1" applyBorder="1"/>
    <x:xf numFmtId="0" fontId="10" fillId="16" borderId="3" xfId="0" applyNumberFormat="1" applyFont="1" applyFill="1" applyBorder="1"/>
    <x:xf numFmtId="0" fontId="10" fillId="16" borderId="4" xfId="0" applyNumberFormat="1" applyFont="1" applyFill="1" applyBorder="1"/>
    <x:xf numFmtId="0" fontId="10" fillId="16" borderId="18" xfId="0" applyNumberFormat="1" applyFont="1" applyFill="1" applyBorder="1"/>
    <x:xf numFmtId="0" fontId="10" fillId="16" borderId="19" xfId="0" applyNumberFormat="1" applyFont="1" applyFill="1" applyBorder="1"/>
    <x:xf numFmtId="0" fontId="10" fillId="16" borderId="20" xfId="0" applyNumberFormat="1" applyFont="1" applyFill="1" applyBorder="1"/>
    <x:xf numFmtId="0" fontId="10" fillId="16" borderId="18" xfId="0" applyNumberFormat="1" applyFont="1" applyFill="1" applyBorder="1" applyAlignment="1">
      <x:alignment horizontal="center"/>
    </x:xf>
    <x:xf numFmtId="0" fontId="10" fillId="16" borderId="19" xfId="0" applyNumberFormat="1" applyFont="1" applyFill="1" applyBorder="1" applyAlignment="1">
      <x:alignment horizontal="center"/>
    </x:xf>
    <x:xf numFmtId="0" fontId="10" fillId="16" borderId="20" xfId="0" applyNumberFormat="1" applyFont="1" applyFill="1" applyBorder="1" applyAlignment="1">
      <x:alignment horizontal="center"/>
    </x:xf>
    <x:xf numFmtId="0" fontId="10" fillId="16" borderId="18" xfId="0" applyNumberFormat="1" applyFont="1" applyFill="1" applyBorder="1" applyAlignment="1">
      <x:alignment horizontal="center" vertical="center"/>
    </x:xf>
    <x:xf numFmtId="0" fontId="10" fillId="16" borderId="19" xfId="0" applyNumberFormat="1" applyFont="1" applyFill="1" applyBorder="1" applyAlignment="1">
      <x:alignment horizontal="center" vertical="center"/>
    </x:xf>
    <x:xf numFmtId="0" fontId="10" fillId="16" borderId="20" xfId="0" applyNumberFormat="1" applyFont="1" applyFill="1" applyBorder="1" applyAlignment="1">
      <x:alignment horizontal="center" vertical="center"/>
    </x:xf>
    <x:xf numFmtId="0" fontId="10" fillId="16" borderId="18" xfId="0" applyNumberFormat="1" applyFont="1" applyFill="1" applyBorder="1" applyAlignment="1">
      <x:alignment horizontal="center" vertical="center" wrapText="1"/>
    </x:xf>
    <x:xf numFmtId="0" fontId="10" fillId="16" borderId="19" xfId="0" applyNumberFormat="1" applyFont="1" applyFill="1" applyBorder="1" applyAlignment="1">
      <x:alignment horizontal="center" vertical="center" wrapText="1"/>
    </x:xf>
    <x:xf numFmtId="0" fontId="10" fillId="16" borderId="20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/>
    <x:xf numFmtId="0" fontId="0" fillId="17" borderId="3" xfId="0" applyNumberFormat="1" applyFont="1" applyFill="1" applyBorder="1"/>
    <x:xf numFmtId="0" fontId="0" fillId="17" borderId="4" xfId="0" applyNumberFormat="1" applyFont="1" applyFill="1" applyBorder="1"/>
    <x:xf numFmtId="0" fontId="9" fillId="17" borderId="2" xfId="0" applyNumberFormat="1" applyFont="1" applyFill="1" applyBorder="1"/>
    <x:xf numFmtId="0" fontId="9" fillId="17" borderId="3" xfId="0" applyNumberFormat="1" applyFont="1" applyFill="1" applyBorder="1"/>
    <x:xf numFmtId="0" fontId="9" fillId="17" borderId="4" xfId="0" applyNumberFormat="1" applyFont="1" applyFill="1" applyBorder="1"/>
    <x:xf numFmtId="0" fontId="9" fillId="17" borderId="18" xfId="0" applyNumberFormat="1" applyFont="1" applyFill="1" applyBorder="1"/>
    <x:xf numFmtId="0" fontId="9" fillId="17" borderId="19" xfId="0" applyNumberFormat="1" applyFont="1" applyFill="1" applyBorder="1"/>
    <x:xf numFmtId="0" fontId="9" fillId="17" borderId="20" xfId="0" applyNumberFormat="1" applyFont="1" applyFill="1" applyBorder="1"/>
    <x:xf numFmtId="0" fontId="9" fillId="17" borderId="18" xfId="0" applyNumberFormat="1" applyFont="1" applyFill="1" applyBorder="1" applyAlignment="1">
      <x:alignment horizontal="center"/>
    </x:xf>
    <x:xf numFmtId="0" fontId="9" fillId="17" borderId="19" xfId="0" applyNumberFormat="1" applyFont="1" applyFill="1" applyBorder="1" applyAlignment="1">
      <x:alignment horizontal="center"/>
    </x:xf>
    <x:xf numFmtId="0" fontId="9" fillId="17" borderId="20" xfId="0" applyNumberFormat="1" applyFont="1" applyFill="1" applyBorder="1" applyAlignment="1">
      <x:alignment horizontal="center"/>
    </x:xf>
    <x:xf numFmtId="0" fontId="9" fillId="17" borderId="18" xfId="0" applyNumberFormat="1" applyFont="1" applyFill="1" applyBorder="1" applyAlignment="1">
      <x:alignment horizontal="center" vertical="center"/>
    </x:xf>
    <x:xf numFmtId="0" fontId="9" fillId="17" borderId="19" xfId="0" applyNumberFormat="1" applyFont="1" applyFill="1" applyBorder="1" applyAlignment="1">
      <x:alignment horizontal="center" vertical="center"/>
    </x:xf>
    <x:xf numFmtId="0" fontId="9" fillId="17" borderId="2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9f91d77974956" /><Relationship Type="http://schemas.openxmlformats.org/officeDocument/2006/relationships/theme" Target="/xl/theme/theme1.xml" Id="Rb095501762304757" /><Relationship Type="http://schemas.openxmlformats.org/officeDocument/2006/relationships/sharedStrings" Target="/xl/sharedStrings.xml" Id="R31da9260eccf4b1c" /><Relationship Type="http://schemas.openxmlformats.org/officeDocument/2006/relationships/worksheet" Target="/xl/worksheets/sheet1.xml" Id="R19ec8ff47a3142c2" /><Relationship Type="http://schemas.openxmlformats.org/officeDocument/2006/relationships/worksheet" Target="/xl/worksheets/sheet2.xml" Id="R09d907fe8b604767" /><Relationship Type="http://schemas.openxmlformats.org/officeDocument/2006/relationships/worksheet" Target="/xl/worksheets/sheet3.xml" Id="Ra8d9a2100008468d" /><Relationship Type="http://schemas.openxmlformats.org/officeDocument/2006/relationships/worksheet" Target="/xl/worksheets/sheet4.xml" Id="R0b0aa281b36b49b9" /><Relationship Type="http://schemas.openxmlformats.org/officeDocument/2006/relationships/worksheet" Target="/xl/worksheets/sheet5.xml" Id="R9b869ec4546c4db2" /><Relationship Type="http://schemas.openxmlformats.org/officeDocument/2006/relationships/worksheet" Target="/xl/worksheets/sheet6.xml" Id="R988c1c39513f4e2a" /><Relationship Type="http://schemas.openxmlformats.org/officeDocument/2006/relationships/worksheet" Target="/xl/worksheets/sheet7.xml" Id="Rb785adc93f1046d0" /><Relationship Type="http://schemas.openxmlformats.org/officeDocument/2006/relationships/worksheet" Target="/xl/worksheets/sheet8.xml" Id="Rf4a11268e695442d" /><Relationship Type="http://schemas.openxmlformats.org/officeDocument/2006/relationships/worksheet" Target="/xl/worksheets/sheet9.xml" Id="Rf4430f5f41a04864" /><Relationship Type="http://schemas.openxmlformats.org/officeDocument/2006/relationships/worksheet" Target="/xl/worksheets/sheet10.xml" Id="R773d9c18f2e84e19" /><Relationship Type="http://schemas.openxmlformats.org/officeDocument/2006/relationships/worksheet" Target="/xl/worksheets/sheet11.xml" Id="Rb2914d73472a473e" /><Relationship Type="http://schemas.openxmlformats.org/officeDocument/2006/relationships/worksheet" Target="/xl/worksheets/sheet12.xml" Id="R08dfcf58d5d647b2" /><Relationship Type="http://schemas.openxmlformats.org/officeDocument/2006/relationships/worksheet" Target="/xl/worksheets/sheet13.xml" Id="Rd8d64525098c48d3" /><Relationship Type="http://schemas.openxmlformats.org/officeDocument/2006/relationships/worksheet" Target="/xl/worksheets/sheet14.xml" Id="R1d9cc01a4709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8bf391f5b6e47c2" /><Relationship Type="http://schemas.openxmlformats.org/officeDocument/2006/relationships/chart" Target="/xl/drawings/charts/chart1.xml" Id="R57d92f9abef64d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f9f348661bf4a9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1c62a1e5ccc4e9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37c18d6e36249c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88a26800c01f467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2ab166843e2047f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9e9bce2aed134ac5" /><Relationship Type="http://schemas.openxmlformats.org/officeDocument/2006/relationships/chart" Target="/xl/drawings/charts/chart2.xml" Id="Raa164a5049ea49c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406b83d8256441a2" /><Relationship Type="http://schemas.openxmlformats.org/officeDocument/2006/relationships/image" Target="/xl/media/image9.png" Id="R0223762cbbd94053" /><Relationship Type="http://schemas.openxmlformats.org/officeDocument/2006/relationships/image" Target="/xl/media/image10.png" Id="R7b9f7ab6acaa4b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Oven vs core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'Summary-final2'!$K$9:$K$15</c:f>
              <c:strCache>
                <c:ptCount val="0"/>
              </c:strCache>
            </c:strRef>
          </c:cat>
          <c:val>
            <c:numRef>
              <c:f>'Summary-final2'!$L$9:$L$15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vs cost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₩/ea</c:v>
          </c:tx>
          <c:marker>
            <c:symbol val="none"/>
          </c:marker>
          <c:cat>
            <c:strRef>
              <c:f>'Rum_Topping_TEST'!$F$8:$F$13</c:f>
              <c:strCache>
                <c:ptCount val="0"/>
              </c:strCache>
            </c:strRef>
          </c:cat>
          <c:val>
            <c:numRef>
              <c:f>'Rum_Topping_TEST'!$G$8:$G$13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₩/ea</c:v>
          </c:tx>
          <c:marker>
            <c:symbol val="none"/>
          </c:marker>
          <c:cat>
            <c:strRef>
              <c:f>'Rum_Topping_TEST'!$F$8:$F$13</c:f>
              <c:strCache>
                <c:ptCount val="0"/>
              </c:strCache>
            </c:strRef>
          </c:cat>
          <c:val>
            <c:numRef>
              <c:f>'Rum_Topping_TEST'!$H$8:$H$13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%</c:v>
          </c:tx>
          <c:marker>
            <c:symbol val="none"/>
          </c:marker>
          <c:cat>
            <c:strRef>
              <c:f>'Rum_Topping_TEST'!$F$8:$F$13</c:f>
              <c:strCache>
                <c:ptCount val="0"/>
              </c:strCache>
            </c:strRef>
          </c:cat>
          <c:val>
            <c:numRef>
              <c:f>'Rum_Topping_TEST'!$I$8:$I$13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%</c:v>
          </c:tx>
          <c:marker>
            <c:symbol val="none"/>
          </c:marker>
          <c:cat>
            <c:strRef>
              <c:f>'Rum_Topping_TEST'!$F$8:$F$13</c:f>
              <c:strCache>
                <c:ptCount val="0"/>
              </c:strCache>
            </c:strRef>
          </c:cat>
          <c:val>
            <c:numRef>
              <c:f>'Rum_Topping_TEST'!$J$8:$J$13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d92f9abef64d9f"/>
        </a:graphicData>
      </a:graphic>
    </xdr:graphicFrame>
    <xdr:clientData/>
  </xdr:twoCellAnchor>
  <xdr:oneCellAnchor>
    <xdr:from>
      <xdr:col>19</xdr:col>
      <xdr:colOff>0</xdr:colOff>
      <xdr:row>3</xdr:row>
      <xdr:rowOff>0</xdr:rowOff>
    </xdr:from>
    <xdr:ext cx="2857500" cy="1333500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f391f5b6e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14</xdr:col>
      <xdr:colOff>0</xdr:colOff>
      <xdr:row>18</xdr:row>
      <xdr:rowOff>0</xdr:rowOff>
    </xdr:from>
    <xdr:ext cx="2381250" cy="114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9f348661bf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20</xdr:col>
      <xdr:colOff>0</xdr:colOff>
      <xdr:row>16</xdr:row>
      <xdr:rowOff>0</xdr:rowOff>
    </xdr:from>
    <xdr:ext cx="2286000" cy="1047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62a1e5ccc4e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20</xdr:col>
      <xdr:colOff>0</xdr:colOff>
      <xdr:row>16</xdr:row>
      <xdr:rowOff>0</xdr:rowOff>
    </xdr:from>
    <xdr:ext cx="2286000" cy="10477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7c18d6e36249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20</xdr:col>
      <xdr:colOff>0</xdr:colOff>
      <xdr:row>16</xdr:row>
      <xdr:rowOff>0</xdr:rowOff>
    </xdr:from>
    <xdr:ext cx="2286000" cy="1047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a26800c01f46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20</xdr:col>
      <xdr:colOff>0</xdr:colOff>
      <xdr:row>16</xdr:row>
      <xdr:rowOff>0</xdr:rowOff>
    </xdr:from>
    <xdr:ext cx="2286000" cy="104775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166843e2047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164a5049ea49c3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381250" cy="1095375"/>
    <xdr:pic>
      <xdr:nvPicPr>
        <xdr:cNvPr id="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bce2aed13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9</xdr:col>
      <xdr:colOff>0</xdr:colOff>
      <xdr:row>6</xdr:row>
      <xdr:rowOff>0</xdr:rowOff>
    </xdr:from>
    <xdr:ext cx="2762250" cy="2095500"/>
    <xdr:pic>
      <xdr:nvPicPr>
        <xdr:cNvPr id="1" name="66097c4e-90e2-4c63-ba1c-630a31832d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6b83d8256441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6</xdr:row>
      <xdr:rowOff>0</xdr:rowOff>
    </xdr:from>
    <xdr:ext cx="2762250" cy="2095500"/>
    <xdr:pic>
      <xdr:nvPicPr>
        <xdr:cNvPr id="2" name="72fc355a-db69-4c68-bc79-de2d8cd03c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23762cbbd940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19</xdr:row>
      <xdr:rowOff>0</xdr:rowOff>
    </xdr:from>
    <xdr:ext cx="2762250" cy="2095500"/>
    <xdr:pic>
      <xdr:nvPicPr>
        <xdr:cNvPr id="3" name="4219c81c-7067-4b93-ba45-7727f8c9a7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f7ab6acaa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2ac788d4ad4b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aa4755eab64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de644444ee547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3d8d9cb2268249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9f7d00934ea840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5b8c4266794545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e356101c79a64e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8.xml" Id="R99a3bbd1e387443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4">
      <x:c r="E4" s="6" t="str">
        <x:v>커피 휘낭시에 — 실험 종합 / Coffee FINANCIER</x:v>
      </x:c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</x:row>
    <x:row r="7">
      <x:c r="E7" s="29" t="str">
        <x:v>Recipe</x:v>
      </x:c>
      <x:c r="F7" s="30" t="str">
        <x:v>커피</x:v>
      </x:c>
      <x:c r="G7" s="30" t="str">
        <x:v>ver.</x:v>
      </x:c>
      <x:c r="H7" s="30" t="str">
        <x:v>R1.7</x:v>
      </x:c>
      <x:c r="I7" s="31"/>
    </x:row>
    <x:row r="8">
      <x:c r="E8" s="32" t="str">
        <x:v>실험기간</x:v>
      </x:c>
      <x:c r="F8" s="33" t="str">
        <x:v>2026-08~09</x:v>
      </x:c>
      <x:c r="G8" s="33" t="str">
        <x:v>n</x:v>
      </x:c>
      <x:c r="H8" s="33" t="str">
        <x:v>3~5</x:v>
      </x:c>
      <x:c r="I8" s="34"/>
      <x:c r="K8" s="58" t="str">
        <x:v>Oven</x:v>
      </x:c>
      <x:c r="L8" s="59" t="str">
        <x:v>core max</x:v>
      </x:c>
      <x:c r="M8" s="59" t="str">
        <x:v>rise</x:v>
      </x:c>
      <x:c r="N8" s="87" t="str">
        <x:v>메모 / sticky note
• oven 실제편차 ±3℃ 추정
• 일부 사진은 다른 batch reference
• '부풀기' 측정 기준이 사람마다 약간 다름
• 색 진함/굵은 글씨 = 중요 표시</x:v>
      </x:c>
      <x:c r="O8" s="81" t="str">
        <x:v>cost/ea</x:v>
      </x:c>
      <x:c r="P8" s="82" t="str">
        <x:v>note</x:v>
      </x:c>
      <x:c r="Q8" s="93"/>
      <x:c r="R8" s="94"/>
    </x:row>
    <x:row r="9">
      <x:c r="E9" s="32" t="str">
        <x:v>주요변수</x:v>
      </x:c>
      <x:c r="F9" s="33" t="str">
        <x:v>oven/temp/add-in</x:v>
      </x:c>
      <x:c r="G9" s="33" t="str">
        <x:v>판정</x:v>
      </x:c>
      <x:c r="H9" s="33" t="str">
        <x:v>core temp + rise</x:v>
      </x:c>
      <x:c r="I9" s="34"/>
      <x:c r="K9" s="12" t="n">
        <x:v>180</x:v>
      </x:c>
      <x:c r="L9" s="13" t="n">
        <x:v>92.5</x:v>
      </x:c>
      <x:c r="M9" s="13" t="n">
        <x:v>10</x:v>
      </x:c>
      <x:c r="N9" s="95" t="n">
        <x:v>2</x:v>
      </x:c>
      <x:c r="O9" s="93" t="n">
        <x:v>424.8</x:v>
      </x:c>
      <x:c r="P9" s="94" t="str">
        <x:v>pale</x:v>
      </x:c>
      <x:c r="Q9" s="96"/>
      <x:c r="R9" s="97"/>
    </x:row>
    <x:row r="10">
      <x:c r="E10" s="32" t="str">
        <x:v>기록상태</x:v>
      </x:c>
      <x:c r="F10" s="33" t="str">
        <x:v>수기+사진+수식</x:v>
      </x:c>
      <x:c r="G10" s="33" t="str">
        <x:v>memo</x:v>
      </x:c>
      <x:c r="H10" s="33" t="str">
        <x:v>영/한/기호 혼용</x:v>
      </x:c>
      <x:c r="I10" s="34"/>
      <x:c r="K10" s="15" t="n">
        <x:v>185</x:v>
      </x:c>
      <x:c r="L10" s="16" t="n">
        <x:v>94.2</x:v>
      </x:c>
      <x:c r="M10" s="16" t="n">
        <x:v>11</x:v>
      </x:c>
      <x:c r="N10" s="98" t="n">
        <x:v>2</x:v>
      </x:c>
      <x:c r="O10" s="96" t="n">
        <x:v>427.3</x:v>
      </x:c>
      <x:c r="P10" s="97" t="str">
        <x:v>pale</x:v>
      </x:c>
      <x:c r="Q10" s="96"/>
      <x:c r="R10" s="97"/>
    </x:row>
    <x:row r="11">
      <x:c r="E11" s="32" t="str">
        <x:v>중요</x:v>
      </x:c>
      <x:c r="F11" s="33" t="str">
        <x:v>색상도 의미 있음</x:v>
      </x:c>
      <x:c r="G11" s="33" t="str">
        <x:v>주의</x:v>
      </x:c>
      <x:c r="H11" s="33" t="str">
        <x:v>일부 셀은 계산값</x:v>
      </x:c>
      <x:c r="I11" s="34"/>
      <x:c r="K11" s="15" t="n">
        <x:v>190</x:v>
      </x:c>
      <x:c r="L11" s="16" t="n">
        <x:v>94.7</x:v>
      </x:c>
      <x:c r="M11" s="16" t="n">
        <x:v>11.1</x:v>
      </x:c>
      <x:c r="N11" s="98" t="n">
        <x:v>4.2</x:v>
      </x:c>
      <x:c r="O11" s="96" t="n">
        <x:v>429.8</x:v>
      </x:c>
      <x:c r="P11" s="97" t="str">
        <x:v>best</x:v>
      </x:c>
      <x:c r="Q11" s="96"/>
      <x:c r="R11" s="97"/>
    </x:row>
    <x:row r="12">
      <x:c r="E12" s="35" t="str">
        <x:v>파일 메모</x:v>
      </x:c>
      <x:c r="F12" s="36" t="str">
        <x:v>형식 통일 안 함</x:v>
      </x:c>
      <x:c r="G12" s="36" t="str">
        <x:v>owner</x:v>
      </x:c>
      <x:c r="H12" s="36" t="str">
        <x:v>박OO</x:v>
      </x:c>
      <x:c r="I12" s="37"/>
      <x:c r="K12" s="15" t="n">
        <x:v>195</x:v>
      </x:c>
      <x:c r="L12" s="16" t="n">
        <x:v>96</x:v>
      </x:c>
      <x:c r="M12" s="16" t="n">
        <x:v>12.4</x:v>
      </x:c>
      <x:c r="N12" s="98" t="n">
        <x:v>8.8</x:v>
      </x:c>
      <x:c r="O12" s="96" t="n">
        <x:v>432.3</x:v>
      </x:c>
      <x:c r="P12" s="97" t="str">
        <x:v>best</x:v>
      </x:c>
      <x:c r="Q12" s="96"/>
      <x:c r="R12" s="97"/>
    </x:row>
    <x:row r="13">
      <x:c r="K13" s="15" t="n">
        <x:v>200</x:v>
      </x:c>
      <x:c r="L13" s="16" t="n">
        <x:v>96.4</x:v>
      </x:c>
      <x:c r="M13" s="16" t="n">
        <x:v>13.2</x:v>
      </x:c>
      <x:c r="N13" s="98" t="n">
        <x:v>14.2</x:v>
      </x:c>
      <x:c r="O13" s="96" t="n">
        <x:v>434.8</x:v>
      </x:c>
      <x:c r="P13" s="97" t="str">
        <x:v>pale</x:v>
      </x:c>
      <x:c r="Q13" s="96"/>
      <x:c r="R13" s="97"/>
    </x:row>
    <x:row r="14">
      <x:c r="K14" s="15" t="n">
        <x:v>205</x:v>
      </x:c>
      <x:c r="L14" s="16" t="n">
        <x:v>97.2</x:v>
      </x:c>
      <x:c r="M14" s="16" t="n">
        <x:v>13.6</x:v>
      </x:c>
      <x:c r="N14" s="99" t="n">
        <x:v>15.8</x:v>
      </x:c>
      <x:c r="O14" s="100" t="n">
        <x:v>437.3</x:v>
      </x:c>
      <x:c r="P14" s="101" t="str">
        <x:v>dark↑</x:v>
      </x:c>
      <x:c r="Q14" s="100"/>
      <x:c r="R14" s="101"/>
    </x:row>
    <x:row r="15">
      <x:c r="K15" s="18" t="n">
        <x:v>210</x:v>
      </x:c>
      <x:c r="L15" s="19" t="n">
        <x:v>98.6</x:v>
      </x:c>
      <x:c r="M15" s="19" t="n">
        <x:v>14.5</x:v>
      </x:c>
      <x:c r="N15" s="19" t="n">
        <x:v>18.9</x:v>
      </x:c>
      <x:c r="O15" s="19" t="n">
        <x:v>439.8</x:v>
      </x:c>
      <x:c r="P15" s="20" t="str">
        <x:v>dark↑</x:v>
      </x:c>
    </x:row>
  </x:sheetData>
  <x:mergeCells>
    <x:mergeCell ref="E4:Q5"/>
    <x:mergeCell ref="N8:R14"/>
  </x:mergeCells>
  <x:pageMargins left="0.7" right="0.7" top="0.75" bottom="0.75" header="0.3" footer="0.3"/>
  <x:drawing xmlns:r="http://schemas.openxmlformats.org/officeDocument/2006/relationships" r:id="Rf02ac788d4ad4b77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8">
      <x:c r="D8" s="132" t="str">
        <x:v>커피 재료/원가 기록  COST??</x:v>
      </x:c>
      <x:c r="E8" s="132"/>
      <x:c r="F8" s="132"/>
      <x:c r="G8" s="132"/>
      <x:c r="H8" s="132"/>
      <x:c r="I8" s="132"/>
      <x:c r="J8" s="132"/>
      <x:c r="K8" s="132"/>
      <x:c r="L8" s="132"/>
    </x:row>
    <x:row r="9">
      <x:c r="D9" s="132"/>
      <x:c r="E9" s="132"/>
      <x:c r="F9" s="132"/>
      <x:c r="G9" s="132"/>
      <x:c r="H9" s="132"/>
      <x:c r="I9" s="132"/>
      <x:c r="J9" s="132"/>
      <x:c r="K9" s="132"/>
      <x:c r="L9" s="132"/>
    </x:row>
    <x:row r="10">
      <x:c r="D10" s="148" t="str">
        <x:v>재료명</x:v>
      </x:c>
      <x:c r="E10" s="149" t="str">
        <x:v>Ingredient/alias</x:v>
      </x:c>
      <x:c r="F10" s="149" t="str">
        <x:v>중량</x:v>
      </x:c>
      <x:c r="G10" s="149" t="str">
        <x:v>단위</x:v>
      </x:c>
      <x:c r="H10" s="149" t="str">
        <x:v>unit cost</x:v>
      </x:c>
      <x:c r="I10" s="149" t="str">
        <x:v>batch-cost</x:v>
      </x:c>
      <x:c r="J10" s="149" t="str">
        <x:v>ratio</x:v>
      </x:c>
      <x:c r="K10" s="149" t="str">
        <x:v>공급처</x:v>
      </x:c>
      <x:c r="L10" s="150" t="str">
        <x:v>memo</x:v>
      </x:c>
    </x:row>
    <x:row r="11">
      <x:c r="D11" s="12" t="str">
        <x:v>버터</x:v>
      </x:c>
      <x:c r="E11" s="13" t="str">
        <x:v>Butter</x:v>
      </x:c>
      <x:c r="F11" s="13" t="n">
        <x:v>116</x:v>
      </x:c>
      <x:c r="G11" s="13" t="str">
        <x:v>g</x:v>
      </x:c>
      <x:c r="H11" s="13" t="n">
        <x:v>12.8</x:v>
      </x:c>
      <x:c r="I11" s="13" t="n">
        <x:v>1484.8</x:v>
      </x:c>
      <x:c r="J11" s="13" t="n">
        <x:f>ROUND(I11/SUM($I$11:$I$18)*100,2)</x:f>
        <x:v>30.19</x:v>
      </x:c>
      <x:c r="K11" s="13" t="str">
        <x:v>MKT-ING</x:v>
      </x:c>
      <x:c r="L11" s="14" t="str"/>
    </x:row>
    <x:row r="12">
      <x:c r="D12" s="15" t="str">
        <x:v>아몬드P</x:v>
      </x:c>
      <x:c r="E12" s="16" t="str">
        <x:v>Almond meal</x:v>
      </x:c>
      <x:c r="F12" s="16" t="n">
        <x:v>90</x:v>
      </x:c>
      <x:c r="G12" s="16" t="str">
        <x:v>g</x:v>
      </x:c>
      <x:c r="H12" s="16" t="n">
        <x:v>18.5</x:v>
      </x:c>
      <x:c r="I12" s="77" t="n">
        <x:v>1665</x:v>
      </x:c>
      <x:c r="J12" s="77" t="n">
        <x:f>ROUND(I12/SUM($I$11:$I$18)*100,2)</x:f>
        <x:v>33.86</x:v>
      </x:c>
      <x:c r="K12" s="16" t="str">
        <x:v>MKT-ING</x:v>
      </x:c>
      <x:c r="L12" s="17" t="str">
        <x:v>spec?</x:v>
      </x:c>
    </x:row>
    <x:row r="13">
      <x:c r="D13" s="15" t="str">
        <x:v>박력</x:v>
      </x:c>
      <x:c r="E13" s="16" t="str">
        <x:v>cake flour</x:v>
      </x:c>
      <x:c r="F13" s="16" t="n">
        <x:v>33</x:v>
      </x:c>
      <x:c r="G13" s="16" t="str">
        <x:v>g</x:v>
      </x:c>
      <x:c r="H13" s="16" t="n">
        <x:v>2.5</x:v>
      </x:c>
      <x:c r="I13" s="77" t="n">
        <x:v>82.5</x:v>
      </x:c>
      <x:c r="J13" s="77" t="n">
        <x:f>ROUND(I13/SUM($I$11:$I$18)*100,2)</x:f>
        <x:v>1.68</x:v>
      </x:c>
      <x:c r="K13" s="16" t="str">
        <x:v>A푸드</x:v>
      </x:c>
      <x:c r="L13" s="17" t="str">
        <x:v>가격변동</x:v>
      </x:c>
    </x:row>
    <x:row r="14">
      <x:c r="D14" s="15" t="str">
        <x:v>분당</x:v>
      </x:c>
      <x:c r="E14" s="16" t="str">
        <x:v>icing sugar</x:v>
      </x:c>
      <x:c r="F14" s="16" t="n">
        <x:v>0.105</x:v>
      </x:c>
      <x:c r="G14" s="16" t="str">
        <x:v>kg</x:v>
      </x:c>
      <x:c r="H14" s="16" t="n">
        <x:v>4800</x:v>
      </x:c>
      <x:c r="I14" s="77" t="n">
        <x:v>504</x:v>
      </x:c>
      <x:c r="J14" s="77" t="n">
        <x:f>ROUND(I14/SUM($I$11:$I$18)*100,2)</x:f>
        <x:v>10.25</x:v>
      </x:c>
      <x:c r="K14" s="16" t="str">
        <x:v>A푸드</x:v>
      </x:c>
      <x:c r="L14" s="17" t="str">
        <x:v>LOT주의</x:v>
      </x:c>
    </x:row>
    <x:row r="15">
      <x:c r="D15" s="15" t="str">
        <x:v>espresso pwd</x:v>
      </x:c>
      <x:c r="E15" s="165" t="str">
        <x:v>에스프레소분말</x:v>
      </x:c>
      <x:c r="F15" s="16" t="n">
        <x:v>7</x:v>
      </x:c>
      <x:c r="G15" s="16" t="str">
        <x:v>g</x:v>
      </x:c>
      <x:c r="H15" s="16" t="n">
        <x:v>44</x:v>
      </x:c>
      <x:c r="I15" s="16" t="n">
        <x:v>308</x:v>
      </x:c>
      <x:c r="J15" s="16" t="n">
        <x:f>ROUND(I15/SUM($I$11:$I$18)*100,2)</x:f>
        <x:v>6.26</x:v>
      </x:c>
      <x:c r="K15" s="16" t="str">
        <x:v>미기입</x:v>
      </x:c>
      <x:c r="L15" s="17" t="str"/>
    </x:row>
    <x:row r="16">
      <x:c r="D16" s="15" t="str">
        <x:v>Coffee EXT</x:v>
      </x:c>
      <x:c r="E16" s="165" t="str">
        <x:v>커피추출액</x:v>
      </x:c>
      <x:c r="F16" s="16" t="n">
        <x:v>14</x:v>
      </x:c>
      <x:c r="G16" s="16" t="str">
        <x:v>g</x:v>
      </x:c>
      <x:c r="H16" s="16" t="n">
        <x:v>12</x:v>
      </x:c>
      <x:c r="I16" s="16" t="n">
        <x:v>168</x:v>
      </x:c>
      <x:c r="J16" s="16" t="n">
        <x:f>ROUND(I16/SUM($I$11:$I$18)*100,2)</x:f>
        <x:v>3.42</x:v>
      </x:c>
      <x:c r="K16" s="16" t="str">
        <x:v>local</x:v>
      </x:c>
      <x:c r="L16" s="17" t="str">
        <x:v>spec?</x:v>
      </x:c>
    </x:row>
    <x:row r="17">
      <x:c r="D17" s="15" t="str">
        <x:v>난백</x:v>
      </x:c>
      <x:c r="E17" s="16" t="str">
        <x:v>Egg white</x:v>
      </x:c>
      <x:c r="F17" s="16" t="n">
        <x:v>128</x:v>
      </x:c>
      <x:c r="G17" s="16" t="str">
        <x:v>g</x:v>
      </x:c>
      <x:c r="H17" s="16" t="n">
        <x:v>5.5</x:v>
      </x:c>
      <x:c r="I17" s="16" t="n">
        <x:v>704</x:v>
      </x:c>
      <x:c r="J17" s="16" t="n">
        <x:f>ROUND(I17/SUM($I$11:$I$18)*100,2)</x:f>
        <x:v>14.31</x:v>
      </x:c>
      <x:c r="K17" s="16" t="str">
        <x:v>미기입</x:v>
      </x:c>
      <x:c r="L17" s="17" t="str">
        <x:v>냉장</x:v>
      </x:c>
    </x:row>
    <x:row r="18">
      <x:c r="D18" s="18" t="str">
        <x:v>소금</x:v>
      </x:c>
      <x:c r="E18" s="19" t="str">
        <x:v>Salt</x:v>
      </x:c>
      <x:c r="F18" s="19" t="n">
        <x:v>1.5</x:v>
      </x:c>
      <x:c r="G18" s="19" t="str">
        <x:v>g</x:v>
      </x:c>
      <x:c r="H18" s="19" t="n">
        <x:v>1.1</x:v>
      </x:c>
      <x:c r="I18" s="19" t="n">
        <x:v>1.7</x:v>
      </x:c>
      <x:c r="J18" s="19" t="n">
        <x:f>ROUND(I18/SUM($I$11:$I$18)*100,2)</x:f>
        <x:v>0.03</x:v>
      </x:c>
      <x:c r="K18" s="19" t="str">
        <x:v>ImportHub</x:v>
      </x:c>
      <x:c r="L18" s="20" t="str"/>
    </x:row>
    <x:row r="21">
      <x:c r="I21" s="12" t="str">
        <x:v>Batch total</x:v>
      </x:c>
      <x:c r="J21" s="14" t="n">
        <x:f>SUM(I11:I18)</x:f>
        <x:v>4918</x:v>
      </x:c>
    </x:row>
    <x:row r="22">
      <x:c r="I22" s="15" t="str">
        <x:v>ea cost /12</x:v>
      </x:c>
      <x:c r="J22" s="17" t="n">
        <x:f>ROUND((J21+J23)/12,1)</x:f>
        <x:v>424.8</x:v>
      </x:c>
    </x:row>
    <x:row r="23">
      <x:c r="I23" s="15" t="str">
        <x:v>package</x:v>
      </x:c>
      <x:c r="J23" s="17" t="n">
        <x:v>180</x:v>
      </x:c>
    </x:row>
    <x:row r="24">
      <x:c r="I24" s="18" t="str">
        <x:v>판매가 rough</x:v>
      </x:c>
      <x:c r="J24" s="20" t="n">
        <x:f>ROUND(J22*2.6,-1)</x:f>
        <x:v>1100</x:v>
      </x:c>
    </x:row>
  </x:sheetData>
  <x:mergeCells>
    <x:mergeCell ref="D8:L9"/>
  </x:mergeCells>
  <x:pageMargins left="0.7" right="0.7" top="0.75" bottom="0.75" header="0.3" footer="0.3"/>
  <x:drawing xmlns:r="http://schemas.openxmlformats.org/officeDocument/2006/relationships" r:id="Rbaa4755eab6446be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180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77.7</x:v>
      </x:c>
      <x:c r="L10" s="30" t="n">
        <x:v>0.16</x:v>
      </x:c>
      <x:c r="M10" s="30" t="n">
        <x:v>0</x:v>
      </x:c>
      <x:c r="N10" s="30" t="str">
        <x:v>brown</x:v>
      </x:c>
      <x:c r="O10" s="30" t="str">
        <x:v>N</x:v>
      </x:c>
      <x:c r="P10" s="30" t="n">
        <x:v>37</x:v>
      </x:c>
      <x:c r="Q10" s="31" t="str">
        <x:v>check</x:v>
      </x:c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78.8</x:v>
      </x:c>
      <x:c r="L11" s="33" t="n">
        <x:v>0.16</x:v>
      </x:c>
      <x:c r="M11" s="33" t="n">
        <x:v>0</x:v>
      </x:c>
      <x:c r="N11" s="33" t="str">
        <x:v>brown</x:v>
      </x:c>
      <x:c r="O11" s="33" t="str">
        <x:v>Y</x:v>
      </x:c>
      <x:c r="P11" s="33" t="n">
        <x:v>37</x:v>
      </x:c>
      <x:c r="Q11" s="34" t="str">
        <x:v>check</x:v>
      </x:c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96.4</x:v>
      </x:c>
      <x:c r="L12" s="33" t="n">
        <x:v>0.29</x:v>
      </x:c>
      <x:c r="M12" s="33" t="n">
        <x:v>1.3</x:v>
      </x:c>
      <x:c r="N12" s="33" t="str">
        <x:v>brown</x:v>
      </x:c>
      <x:c r="O12" s="33" t="str">
        <x:v>Y</x:v>
      </x:c>
      <x:c r="P12" s="33" t="n">
        <x:v>36.6</x:v>
      </x:c>
      <x:c r="Q12" s="34" t="str">
        <x:v>aroma?</x:v>
      </x:c>
      <x:c r="R12" s="33"/>
      <x:c r="S12" s="35" t="str">
        <x:v>temp set</x:v>
      </x:c>
      <x:c r="T12" s="36" t="str">
        <x:v>℃</x:v>
      </x:c>
      <x:c r="U12" s="36" t="n">
        <x:v>180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97.9</x:v>
      </x:c>
      <x:c r="L13" s="33" t="n">
        <x:v>0.35</x:v>
      </x:c>
      <x:c r="M13" s="33" t="n">
        <x:v>1.7</x:v>
      </x:c>
      <x:c r="N13" s="33" t="str">
        <x:v>brown</x:v>
      </x:c>
      <x:c r="O13" s="33" t="str">
        <x:v>Y</x:v>
      </x:c>
      <x:c r="P13" s="33" t="n">
        <x:v>36.5</x:v>
      </x:c>
      <x:c r="Q13" s="34" t="str">
        <x:v>check</x:v>
      </x:c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117</x:v>
      </x:c>
      <x:c r="L14" s="33" t="n">
        <x:v>0.43</x:v>
      </x:c>
      <x:c r="M14" s="33" t="n">
        <x:v>3.1</x:v>
      </x:c>
      <x:c r="N14" s="33" t="str">
        <x:v>dark</x:v>
      </x:c>
      <x:c r="O14" s="33" t="str">
        <x:v>N</x:v>
      </x:c>
      <x:c r="P14" s="33" t="n">
        <x:v>36.1</x:v>
      </x:c>
      <x:c r="Q14" s="34" t="str">
        <x:v>aroma?</x:v>
      </x:c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117.7</x:v>
      </x:c>
      <x:c r="L15" s="33" t="n">
        <x:v>0.43</x:v>
      </x:c>
      <x:c r="M15" s="33" t="n">
        <x:v>3.1</x:v>
      </x:c>
      <x:c r="N15" s="33" t="str">
        <x:v>dark</x:v>
      </x:c>
      <x:c r="O15" s="33" t="str">
        <x:v>N</x:v>
      </x:c>
      <x:c r="P15" s="33" t="n">
        <x:v>36.1</x:v>
      </x:c>
      <x:c r="Q15" s="34" t="str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135.5</x:v>
      </x:c>
      <x:c r="L16" s="33" t="n">
        <x:v>0.56</x:v>
      </x:c>
      <x:c r="M16" s="33" t="n">
        <x:v>4.9</x:v>
      </x:c>
      <x:c r="N16" s="33" t="str">
        <x:v>dark</x:v>
      </x:c>
      <x:c r="O16" s="33" t="str">
        <x:v>N</x:v>
      </x:c>
      <x:c r="P16" s="33" t="n">
        <x:v>35.5</x:v>
      </x:c>
      <x:c r="Q16" s="34" t="str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135</x:v>
      </x:c>
      <x:c r="L17" s="33" t="n">
        <x:v>0.59</x:v>
      </x:c>
      <x:c r="M17" s="33" t="n">
        <x:v>5</x:v>
      </x:c>
      <x:c r="N17" s="33" t="str">
        <x:v>brown</x:v>
      </x:c>
      <x:c r="O17" s="33" t="str">
        <x:v>N</x:v>
      </x:c>
      <x:c r="P17" s="33" t="n">
        <x:v>35.5</x:v>
      </x:c>
      <x:c r="Q17" s="34" t="str">
        <x:v>check</x:v>
      </x:c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154.4</x:v>
      </x:c>
      <x:c r="L18" s="33" t="n">
        <x:v>0.71</x:v>
      </x:c>
      <x:c r="M18" s="33" t="n">
        <x:v>5.9</x:v>
      </x:c>
      <x:c r="N18" s="33" t="str">
        <x:v>dark</x:v>
      </x:c>
      <x:c r="O18" s="33" t="str">
        <x:v>N</x:v>
      </x:c>
      <x:c r="P18" s="33" t="n">
        <x:v>35.2</x:v>
      </x:c>
      <x:c r="Q18" s="34" t="str">
        <x:v>check</x:v>
      </x:c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154.9</x:v>
      </x:c>
      <x:c r="L19" s="33" t="n">
        <x:v>0.72</x:v>
      </x:c>
      <x:c r="M19" s="33" t="n">
        <x:v>6.1</x:v>
      </x:c>
      <x:c r="N19" s="33" t="str">
        <x:v>tan</x:v>
      </x:c>
      <x:c r="O19" s="33" t="str">
        <x:v>Y</x:v>
      </x:c>
      <x:c r="P19" s="33" t="n">
        <x:v>35.2</x:v>
      </x:c>
      <x:c r="Q19" s="34" t="str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156.6</x:v>
      </x:c>
      <x:c r="L20" s="33" t="n">
        <x:v>0.77</x:v>
      </x:c>
      <x:c r="M20" s="33" t="n">
        <x:v>6.1</x:v>
      </x:c>
      <x:c r="N20" s="33" t="str">
        <x:v>brown</x:v>
      </x:c>
      <x:c r="O20" s="33" t="str">
        <x:v>Y</x:v>
      </x:c>
      <x:c r="P20" s="33" t="n">
        <x:v>35.2</x:v>
      </x:c>
      <x:c r="Q20" s="34" t="str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173.1</x:v>
      </x:c>
      <x:c r="L21" s="33" t="n">
        <x:v>0.82</x:v>
      </x:c>
      <x:c r="M21" s="33" t="n">
        <x:v>7.9</x:v>
      </x:c>
      <x:c r="N21" s="33" t="str">
        <x:v>tan</x:v>
      </x:c>
      <x:c r="O21" s="33" t="str">
        <x:v>N</x:v>
      </x:c>
      <x:c r="P21" s="33" t="n">
        <x:v>34.6</x:v>
      </x:c>
      <x:c r="Q21" s="34" t="str">
        <x:v>check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175.5</x:v>
      </x:c>
      <x:c r="L22" s="33" t="n">
        <x:v>0.85</x:v>
      </x:c>
      <x:c r="M22" s="33" t="n">
        <x:v>7.8</x:v>
      </x:c>
      <x:c r="N22" s="33" t="str">
        <x:v>brown</x:v>
      </x:c>
      <x:c r="O22" s="33" t="str">
        <x:v>N</x:v>
      </x:c>
      <x:c r="P22" s="33" t="n">
        <x:v>34.7</x:v>
      </x:c>
      <x:c r="Q22" s="34" t="str">
        <x:v>aroma?</x:v>
      </x:c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174.4</x:v>
      </x:c>
      <x:c r="L23" s="33" t="n">
        <x:v>0.93</x:v>
      </x:c>
      <x:c r="M23" s="33" t="n">
        <x:v>8</x:v>
      </x:c>
      <x:c r="N23" s="33" t="str">
        <x:v>dark</x:v>
      </x:c>
      <x:c r="O23" s="33" t="str">
        <x:v>Y</x:v>
      </x:c>
      <x:c r="P23" s="33" t="n">
        <x:v>34.6</x:v>
      </x:c>
      <x:c r="Q23" s="34" t="str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193.1</x:v>
      </x:c>
      <x:c r="L24" s="33" t="n">
        <x:v>0.98</x:v>
      </x:c>
      <x:c r="M24" s="33" t="n">
        <x:v>9.2</x:v>
      </x:c>
      <x:c r="N24" s="33" t="str">
        <x:v>tan</x:v>
      </x:c>
      <x:c r="O24" s="33" t="str">
        <x:v>N</x:v>
      </x:c>
      <x:c r="P24" s="33" t="n">
        <x:v>34.2</x:v>
      </x:c>
      <x:c r="Q24" s="34" t="str">
        <x:v>check</x:v>
      </x:c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194</x:v>
      </x:c>
      <x:c r="L25" s="33" t="n">
        <x:v>1.02</x:v>
      </x:c>
      <x:c r="M25" s="33" t="n">
        <x:v>9.3</x:v>
      </x:c>
      <x:c r="N25" s="33" t="str">
        <x:v>brown</x:v>
      </x:c>
      <x:c r="O25" s="33" t="str">
        <x:v>N</x:v>
      </x:c>
      <x:c r="P25" s="33" t="n">
        <x:v>34.2</x:v>
      </x:c>
      <x:c r="Q25" s="34" t="str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194.5</x:v>
      </x:c>
      <x:c r="L26" s="33" t="n">
        <x:v>1.06</x:v>
      </x:c>
      <x:c r="M26" s="33" t="n">
        <x:v>9.3</x:v>
      </x:c>
      <x:c r="N26" s="33" t="str">
        <x:v>dark</x:v>
      </x:c>
      <x:c r="O26" s="33" t="str">
        <x:v>N</x:v>
      </x:c>
      <x:c r="P26" s="33" t="n">
        <x:v>34.2</x:v>
      </x:c>
      <x:c r="Q26" s="34" t="str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1.08</x:v>
      </x:c>
      <x:c r="M27" s="33" t="n">
        <x:v>10.7</x:v>
      </x:c>
      <x:c r="N27" s="33" t="str">
        <x:v>brown</x:v>
      </x:c>
      <x:c r="O27" s="33" t="str">
        <x:v>Y</x:v>
      </x:c>
      <x:c r="P27" s="33" t="n">
        <x:v>33.8</x:v>
      </x:c>
      <x:c r="Q27" s="34" t="str">
        <x:v>aroma?</x:v>
      </x:c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1.15</x:v>
      </x:c>
      <x:c r="M28" s="33" t="n">
        <x:v>10.9</x:v>
      </x:c>
      <x:c r="N28" s="33" t="str">
        <x:v>dark</x:v>
      </x:c>
      <x:c r="O28" s="33" t="str">
        <x:v>N</x:v>
      </x:c>
      <x:c r="P28" s="33" t="n">
        <x:v>33.7</x:v>
      </x:c>
      <x:c r="Q28" s="34" t="str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1.19</x:v>
      </x:c>
      <x:c r="M29" s="36" t="n">
        <x:v>10.6</x:v>
      </x:c>
      <x:c r="N29" s="36" t="str">
        <x:v>tan</x:v>
      </x:c>
      <x:c r="O29" s="36" t="str">
        <x:v>N</x:v>
      </x:c>
      <x:c r="P29" s="36" t="n">
        <x:v>33.8</x:v>
      </x:c>
      <x:c r="Q29" s="37" t="str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  <x:drawing xmlns:r="http://schemas.openxmlformats.org/officeDocument/2006/relationships" r:id="R4de644444ee547b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185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78.8</x:v>
      </x:c>
      <x:c r="L10" s="30" t="n">
        <x:v>0.19</x:v>
      </x:c>
      <x:c r="M10" s="30" t="n">
        <x:v>0.2</x:v>
      </x:c>
      <x:c r="N10" s="30" t="str">
        <x:v>brown</x:v>
      </x:c>
      <x:c r="O10" s="30" t="str">
        <x:v>Y</x:v>
      </x:c>
      <x:c r="P10" s="30" t="n">
        <x:v>36.9</x:v>
      </x:c>
      <x:c r="Q10" s="31" t="str"/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79.7</x:v>
      </x:c>
      <x:c r="L11" s="33" t="n">
        <x:v>0.23</x:v>
      </x:c>
      <x:c r="M11" s="33" t="n">
        <x:v>0.5</x:v>
      </x:c>
      <x:c r="N11" s="33" t="str">
        <x:v>dark</x:v>
      </x:c>
      <x:c r="O11" s="33" t="str">
        <x:v>Y</x:v>
      </x:c>
      <x:c r="P11" s="33" t="n">
        <x:v>36.9</x:v>
      </x:c>
      <x:c r="Q11" s="34" t="str">
        <x:v>check</x:v>
      </x:c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99.1</x:v>
      </x:c>
      <x:c r="L12" s="33" t="n">
        <x:v>0.27</x:v>
      </x:c>
      <x:c r="M12" s="33" t="n">
        <x:v>1.9</x:v>
      </x:c>
      <x:c r="N12" s="33" t="str">
        <x:v>dark</x:v>
      </x:c>
      <x:c r="O12" s="33" t="str">
        <x:v>N</x:v>
      </x:c>
      <x:c r="P12" s="33" t="n">
        <x:v>36.4</x:v>
      </x:c>
      <x:c r="Q12" s="34" t="str"/>
      <x:c r="R12" s="33"/>
      <x:c r="S12" s="35" t="str">
        <x:v>temp set</x:v>
      </x:c>
      <x:c r="T12" s="36" t="str">
        <x:v>℃</x:v>
      </x:c>
      <x:c r="U12" s="36" t="n">
        <x:v>185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98.8</x:v>
      </x:c>
      <x:c r="L13" s="33" t="n">
        <x:v>0.32</x:v>
      </x:c>
      <x:c r="M13" s="33" t="n">
        <x:v>1.7</x:v>
      </x:c>
      <x:c r="N13" s="33" t="str">
        <x:v>brown</x:v>
      </x:c>
      <x:c r="O13" s="33" t="str">
        <x:v>N</x:v>
      </x:c>
      <x:c r="P13" s="33" t="n">
        <x:v>36.5</x:v>
      </x:c>
      <x:c r="Q13" s="34" t="str">
        <x:v>aroma?</x:v>
      </x:c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116.4</x:v>
      </x:c>
      <x:c r="L14" s="33" t="n">
        <x:v>0.41</x:v>
      </x:c>
      <x:c r="M14" s="33" t="n">
        <x:v>3.2</x:v>
      </x:c>
      <x:c r="N14" s="33" t="str">
        <x:v>tan</x:v>
      </x:c>
      <x:c r="O14" s="33" t="str">
        <x:v>Y</x:v>
      </x:c>
      <x:c r="P14" s="33" t="n">
        <x:v>36</x:v>
      </x:c>
      <x:c r="Q14" s="34" t="str">
        <x:v>check</x:v>
      </x:c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119.3</x:v>
      </x:c>
      <x:c r="L15" s="33" t="n">
        <x:v>0.46</x:v>
      </x:c>
      <x:c r="M15" s="33" t="n">
        <x:v>3.1</x:v>
      </x:c>
      <x:c r="N15" s="33" t="str">
        <x:v>tan</x:v>
      </x:c>
      <x:c r="O15" s="33" t="str">
        <x:v>N</x:v>
      </x:c>
      <x:c r="P15" s="33" t="n">
        <x:v>36.1</x:v>
      </x:c>
      <x:c r="Q15" s="34" t="str">
        <x:v>check</x:v>
      </x:c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136.8</x:v>
      </x:c>
      <x:c r="L16" s="33" t="n">
        <x:v>0.58</x:v>
      </x:c>
      <x:c r="M16" s="33" t="n">
        <x:v>4.8</x:v>
      </x:c>
      <x:c r="N16" s="33" t="str">
        <x:v>dark</x:v>
      </x:c>
      <x:c r="O16" s="33" t="str">
        <x:v>N</x:v>
      </x:c>
      <x:c r="P16" s="33" t="n">
        <x:v>35.6</x:v>
      </x:c>
      <x:c r="Q16" s="34" t="str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137.1</x:v>
      </x:c>
      <x:c r="L17" s="33" t="n">
        <x:v>0.61</x:v>
      </x:c>
      <x:c r="M17" s="33" t="n">
        <x:v>4.8</x:v>
      </x:c>
      <x:c r="N17" s="33" t="str">
        <x:v>brown</x:v>
      </x:c>
      <x:c r="O17" s="33" t="str">
        <x:v>N</x:v>
      </x:c>
      <x:c r="P17" s="33" t="n">
        <x:v>35.6</x:v>
      </x:c>
      <x:c r="Q17" s="34" t="str">
        <x:v>check</x:v>
      </x:c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156.7</x:v>
      </x:c>
      <x:c r="L18" s="33" t="n">
        <x:v>0.68</x:v>
      </x:c>
      <x:c r="M18" s="33" t="n">
        <x:v>6.3</x:v>
      </x:c>
      <x:c r="N18" s="33" t="str">
        <x:v>dark</x:v>
      </x:c>
      <x:c r="O18" s="33" t="str">
        <x:v>Y</x:v>
      </x:c>
      <x:c r="P18" s="33" t="n">
        <x:v>35.1</x:v>
      </x:c>
      <x:c r="Q18" s="34" t="str">
        <x:v>aroma?</x:v>
      </x:c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157.5</x:v>
      </x:c>
      <x:c r="L19" s="33" t="n">
        <x:v>0.74</x:v>
      </x:c>
      <x:c r="M19" s="33" t="n">
        <x:v>6.6</x:v>
      </x:c>
      <x:c r="N19" s="33" t="str">
        <x:v>brown</x:v>
      </x:c>
      <x:c r="O19" s="33" t="str">
        <x:v>N</x:v>
      </x:c>
      <x:c r="P19" s="33" t="n">
        <x:v>35</x:v>
      </x:c>
      <x:c r="Q19" s="34" t="str">
        <x:v>check</x:v>
      </x:c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158.5</x:v>
      </x:c>
      <x:c r="L20" s="33" t="n">
        <x:v>0.82</x:v>
      </x:c>
      <x:c r="M20" s="33" t="n">
        <x:v>6.4</x:v>
      </x:c>
      <x:c r="N20" s="33" t="str">
        <x:v>tan</x:v>
      </x:c>
      <x:c r="O20" s="33" t="str">
        <x:v>Y</x:v>
      </x:c>
      <x:c r="P20" s="33" t="n">
        <x:v>35.1</x:v>
      </x:c>
      <x:c r="Q20" s="34" t="str">
        <x:v>check</x:v>
      </x:c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175.8</x:v>
      </x:c>
      <x:c r="L21" s="33" t="n">
        <x:v>0.87</x:v>
      </x:c>
      <x:c r="M21" s="33" t="n">
        <x:v>8.3</x:v>
      </x:c>
      <x:c r="N21" s="33" t="str">
        <x:v>tan</x:v>
      </x:c>
      <x:c r="O21" s="33" t="str">
        <x:v>N</x:v>
      </x:c>
      <x:c r="P21" s="33" t="n">
        <x:v>34.5</x:v>
      </x:c>
      <x:c r="Q21" s="34" t="str">
        <x:v>check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176.9</x:v>
      </x:c>
      <x:c r="L22" s="33" t="n">
        <x:v>0.9</x:v>
      </x:c>
      <x:c r="M22" s="33" t="n">
        <x:v>8</x:v>
      </x:c>
      <x:c r="N22" s="33" t="str">
        <x:v>tan</x:v>
      </x:c>
      <x:c r="O22" s="33" t="str">
        <x:v>Y</x:v>
      </x:c>
      <x:c r="P22" s="33" t="n">
        <x:v>34.6</x:v>
      </x:c>
      <x:c r="Q22" s="34" t="str">
        <x:v>aroma?</x:v>
      </x:c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177.1</x:v>
      </x:c>
      <x:c r="L23" s="33" t="n">
        <x:v>0.94</x:v>
      </x:c>
      <x:c r="M23" s="33" t="n">
        <x:v>7.8</x:v>
      </x:c>
      <x:c r="N23" s="33" t="str">
        <x:v>brown</x:v>
      </x:c>
      <x:c r="O23" s="33" t="str">
        <x:v>Y</x:v>
      </x:c>
      <x:c r="P23" s="33" t="n">
        <x:v>34.7</x:v>
      </x:c>
      <x:c r="Q23" s="34" t="str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194.4</x:v>
      </x:c>
      <x:c r="L24" s="33" t="n">
        <x:v>1</x:v>
      </x:c>
      <x:c r="M24" s="33" t="n">
        <x:v>9.4</x:v>
      </x:c>
      <x:c r="N24" s="33" t="str">
        <x:v>brown</x:v>
      </x:c>
      <x:c r="O24" s="33" t="str">
        <x:v>N</x:v>
      </x:c>
      <x:c r="P24" s="33" t="n">
        <x:v>34.2</x:v>
      </x:c>
      <x:c r="Q24" s="34" t="str">
        <x:v>aroma?</x:v>
      </x:c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194.2</x:v>
      </x:c>
      <x:c r="L25" s="33" t="n">
        <x:v>1.04</x:v>
      </x:c>
      <x:c r="M25" s="33" t="n">
        <x:v>9.8</x:v>
      </x:c>
      <x:c r="N25" s="33" t="str">
        <x:v>dark</x:v>
      </x:c>
      <x:c r="O25" s="33" t="str">
        <x:v>N</x:v>
      </x:c>
      <x:c r="P25" s="33" t="n">
        <x:v>34.1</x:v>
      </x:c>
      <x:c r="Q25" s="34" t="str">
        <x:v>aroma?</x:v>
      </x:c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196</x:v>
      </x:c>
      <x:c r="L26" s="33" t="n">
        <x:v>1.05</x:v>
      </x:c>
      <x:c r="M26" s="33" t="n">
        <x:v>9.9</x:v>
      </x:c>
      <x:c r="N26" s="33" t="str">
        <x:v>brown</x:v>
      </x:c>
      <x:c r="O26" s="33" t="str">
        <x:v>N</x:v>
      </x:c>
      <x:c r="P26" s="33" t="n">
        <x:v>34</x:v>
      </x:c>
      <x:c r="Q26" s="34" t="str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1.11</x:v>
      </x:c>
      <x:c r="M27" s="33" t="n">
        <x:v>11</x:v>
      </x:c>
      <x:c r="N27" s="33" t="str">
        <x:v>tan</x:v>
      </x:c>
      <x:c r="O27" s="33" t="str">
        <x:v>N</x:v>
      </x:c>
      <x:c r="P27" s="33" t="n">
        <x:v>33.7</x:v>
      </x:c>
      <x:c r="Q27" s="34" t="str">
        <x:v>check</x:v>
      </x:c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1.18</x:v>
      </x:c>
      <x:c r="M28" s="33" t="n">
        <x:v>11.3</x:v>
      </x:c>
      <x:c r="N28" s="33" t="str">
        <x:v>tan</x:v>
      </x:c>
      <x:c r="O28" s="33" t="str">
        <x:v>N</x:v>
      </x:c>
      <x:c r="P28" s="33" t="n">
        <x:v>33.6</x:v>
      </x:c>
      <x:c r="Q28" s="34" t="str">
        <x:v>aroma?</x:v>
      </x:c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1.18</x:v>
      </x:c>
      <x:c r="M29" s="36" t="n">
        <x:v>11.3</x:v>
      </x:c>
      <x:c r="N29" s="36" t="str">
        <x:v>dark</x:v>
      </x:c>
      <x:c r="O29" s="36" t="str">
        <x:v>N</x:v>
      </x:c>
      <x:c r="P29" s="36" t="n">
        <x:v>33.6</x:v>
      </x:c>
      <x:c r="Q29" s="37" t="str">
        <x:v>aroma?</x:v>
      </x:c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190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80.2</x:v>
      </x:c>
      <x:c r="L10" s="30" t="n">
        <x:v>0.18</x:v>
      </x:c>
      <x:c r="M10" s="30" t="n">
        <x:v>0.6</x:v>
      </x:c>
      <x:c r="N10" s="30" t="str">
        <x:v>brown</x:v>
      </x:c>
      <x:c r="O10" s="30" t="str">
        <x:v>N</x:v>
      </x:c>
      <x:c r="P10" s="30" t="n">
        <x:v>36.8</x:v>
      </x:c>
      <x:c r="Q10" s="31" t="str">
        <x:v>aroma?</x:v>
      </x:c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82.6</x:v>
      </x:c>
      <x:c r="L11" s="33" t="n">
        <x:v>0.2</x:v>
      </x:c>
      <x:c r="M11" s="33" t="n">
        <x:v>0.7</x:v>
      </x:c>
      <x:c r="N11" s="33" t="str">
        <x:v>tan</x:v>
      </x:c>
      <x:c r="O11" s="33" t="str">
        <x:v>N</x:v>
      </x:c>
      <x:c r="P11" s="33" t="n">
        <x:v>36.8</x:v>
      </x:c>
      <x:c r="Q11" s="34" t="str"/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101.3</x:v>
      </x:c>
      <x:c r="L12" s="33" t="n">
        <x:v>0.29</x:v>
      </x:c>
      <x:c r="M12" s="33" t="n">
        <x:v>2</x:v>
      </x:c>
      <x:c r="N12" s="33" t="str">
        <x:v>tan</x:v>
      </x:c>
      <x:c r="O12" s="33" t="str">
        <x:v>N</x:v>
      </x:c>
      <x:c r="P12" s="33" t="n">
        <x:v>36.4</x:v>
      </x:c>
      <x:c r="Q12" s="34" t="str">
        <x:v>check</x:v>
      </x:c>
      <x:c r="R12" s="33"/>
      <x:c r="S12" s="35" t="str">
        <x:v>temp set</x:v>
      </x:c>
      <x:c r="T12" s="36" t="str">
        <x:v>℃</x:v>
      </x:c>
      <x:c r="U12" s="36" t="n">
        <x:v>190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102.2</x:v>
      </x:c>
      <x:c r="L13" s="33" t="n">
        <x:v>0.32</x:v>
      </x:c>
      <x:c r="M13" s="33" t="n">
        <x:v>2</x:v>
      </x:c>
      <x:c r="N13" s="33" t="str">
        <x:v>tan</x:v>
      </x:c>
      <x:c r="O13" s="33" t="str">
        <x:v>N</x:v>
      </x:c>
      <x:c r="P13" s="33" t="n">
        <x:v>36.4</x:v>
      </x:c>
      <x:c r="Q13" s="34" t="str">
        <x:v>aroma?</x:v>
      </x:c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118.9</x:v>
      </x:c>
      <x:c r="L14" s="33" t="n">
        <x:v>0.44</x:v>
      </x:c>
      <x:c r="M14" s="33" t="n">
        <x:v>3.7</x:v>
      </x:c>
      <x:c r="N14" s="33" t="str">
        <x:v>dark</x:v>
      </x:c>
      <x:c r="O14" s="33" t="str">
        <x:v>N</x:v>
      </x:c>
      <x:c r="P14" s="33" t="n">
        <x:v>35.9</x:v>
      </x:c>
      <x:c r="Q14" s="34" t="str">
        <x:v>check</x:v>
      </x:c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120.7</x:v>
      </x:c>
      <x:c r="L15" s="33" t="n">
        <x:v>0.47</x:v>
      </x:c>
      <x:c r="M15" s="33" t="n">
        <x:v>3.5</x:v>
      </x:c>
      <x:c r="N15" s="33" t="str">
        <x:v>dark</x:v>
      </x:c>
      <x:c r="O15" s="33" t="str">
        <x:v>N</x:v>
      </x:c>
      <x:c r="P15" s="33" t="n">
        <x:v>36</x:v>
      </x:c>
      <x:c r="Q15" s="34" t="str">
        <x:v>aroma?</x:v>
      </x:c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139.6</x:v>
      </x:c>
      <x:c r="L16" s="33" t="n">
        <x:v>0.56</x:v>
      </x:c>
      <x:c r="M16" s="33" t="n">
        <x:v>5.4</x:v>
      </x:c>
      <x:c r="N16" s="33" t="str">
        <x:v>dark</x:v>
      </x:c>
      <x:c r="O16" s="33" t="str">
        <x:v>Y</x:v>
      </x:c>
      <x:c r="P16" s="33" t="n">
        <x:v>35.4</x:v>
      </x:c>
      <x:c r="Q16" s="34" t="str">
        <x:v>aroma?</x:v>
      </x:c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139.8</x:v>
      </x:c>
      <x:c r="L17" s="33" t="n">
        <x:v>0.65</x:v>
      </x:c>
      <x:c r="M17" s="33" t="n">
        <x:v>5.5</x:v>
      </x:c>
      <x:c r="N17" s="33" t="str">
        <x:v>tan</x:v>
      </x:c>
      <x:c r="O17" s="33" t="str">
        <x:v>N</x:v>
      </x:c>
      <x:c r="P17" s="33" t="n">
        <x:v>35.4</x:v>
      </x:c>
      <x:c r="Q17" s="34" t="str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158.4</x:v>
      </x:c>
      <x:c r="L18" s="33" t="n">
        <x:v>0.74</x:v>
      </x:c>
      <x:c r="M18" s="33" t="n">
        <x:v>6.8</x:v>
      </x:c>
      <x:c r="N18" s="33" t="str">
        <x:v>dark</x:v>
      </x:c>
      <x:c r="O18" s="33" t="str">
        <x:v>N</x:v>
      </x:c>
      <x:c r="P18" s="33" t="n">
        <x:v>35</x:v>
      </x:c>
      <x:c r="Q18" s="34" t="str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158.4</x:v>
      </x:c>
      <x:c r="L19" s="33" t="n">
        <x:v>0.8</x:v>
      </x:c>
      <x:c r="M19" s="33" t="n">
        <x:v>6.7</x:v>
      </x:c>
      <x:c r="N19" s="33" t="str">
        <x:v>dark</x:v>
      </x:c>
      <x:c r="O19" s="33" t="str">
        <x:v>N</x:v>
      </x:c>
      <x:c r="P19" s="33" t="n">
        <x:v>35</x:v>
      </x:c>
      <x:c r="Q19" s="34" t="str">
        <x:v>aroma?</x:v>
      </x:c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159.1</x:v>
      </x:c>
      <x:c r="L20" s="33" t="n">
        <x:v>0.82</x:v>
      </x:c>
      <x:c r="M20" s="33" t="n">
        <x:v>6.7</x:v>
      </x:c>
      <x:c r="N20" s="33" t="str">
        <x:v>tan</x:v>
      </x:c>
      <x:c r="O20" s="33" t="str">
        <x:v>N</x:v>
      </x:c>
      <x:c r="P20" s="33" t="n">
        <x:v>35</x:v>
      </x:c>
      <x:c r="Q20" s="34" t="str">
        <x:v>aroma?</x:v>
      </x:c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176.5</x:v>
      </x:c>
      <x:c r="L21" s="33" t="n">
        <x:v>0.85</x:v>
      </x:c>
      <x:c r="M21" s="33" t="n">
        <x:v>8.1</x:v>
      </x:c>
      <x:c r="N21" s="33" t="str">
        <x:v>dark</x:v>
      </x:c>
      <x:c r="O21" s="33" t="str">
        <x:v>Y</x:v>
      </x:c>
      <x:c r="P21" s="33" t="n">
        <x:v>34.6</x:v>
      </x:c>
      <x:c r="Q21" s="34" t="str">
        <x:v>aroma?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177.8</x:v>
      </x:c>
      <x:c r="L22" s="33" t="n">
        <x:v>0.92</x:v>
      </x:c>
      <x:c r="M22" s="33" t="n">
        <x:v>8.4</x:v>
      </x:c>
      <x:c r="N22" s="33" t="str">
        <x:v>dark</x:v>
      </x:c>
      <x:c r="O22" s="33" t="str">
        <x:v>N</x:v>
      </x:c>
      <x:c r="P22" s="33" t="n">
        <x:v>34.5</x:v>
      </x:c>
      <x:c r="Q22" s="34" t="str">
        <x:v>check</x:v>
      </x:c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180.3</x:v>
      </x:c>
      <x:c r="L23" s="33" t="n">
        <x:v>0.95</x:v>
      </x:c>
      <x:c r="M23" s="33" t="n">
        <x:v>8.4</x:v>
      </x:c>
      <x:c r="N23" s="33" t="str">
        <x:v>tan</x:v>
      </x:c>
      <x:c r="O23" s="33" t="str">
        <x:v>N</x:v>
      </x:c>
      <x:c r="P23" s="33" t="n">
        <x:v>34.5</x:v>
      </x:c>
      <x:c r="Q23" s="34" t="str">
        <x:v>aroma?</x:v>
      </x:c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196.9</x:v>
      </x:c>
      <x:c r="L24" s="33" t="n">
        <x:v>0.98</x:v>
      </x:c>
      <x:c r="M24" s="33" t="n">
        <x:v>9.6</x:v>
      </x:c>
      <x:c r="N24" s="33" t="str">
        <x:v>dark</x:v>
      </x:c>
      <x:c r="O24" s="33" t="str">
        <x:v>N</x:v>
      </x:c>
      <x:c r="P24" s="33" t="n">
        <x:v>34.1</x:v>
      </x:c>
      <x:c r="Q24" s="34" t="str">
        <x:v>check</x:v>
      </x:c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198</x:v>
      </x:c>
      <x:c r="L25" s="33" t="n">
        <x:v>1.01</x:v>
      </x:c>
      <x:c r="M25" s="33" t="n">
        <x:v>9.6</x:v>
      </x:c>
      <x:c r="N25" s="33" t="str">
        <x:v>brown</x:v>
      </x:c>
      <x:c r="O25" s="33" t="str">
        <x:v>N</x:v>
      </x:c>
      <x:c r="P25" s="33" t="n">
        <x:v>34.1</x:v>
      </x:c>
      <x:c r="Q25" s="34" t="str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199</x:v>
      </x:c>
      <x:c r="L26" s="33" t="n">
        <x:v>1.06</x:v>
      </x:c>
      <x:c r="M26" s="33" t="n">
        <x:v>9.7</x:v>
      </x:c>
      <x:c r="N26" s="33" t="str">
        <x:v>tan</x:v>
      </x:c>
      <x:c r="O26" s="33" t="str">
        <x:v>Y</x:v>
      </x:c>
      <x:c r="P26" s="33" t="n">
        <x:v>34.1</x:v>
      </x:c>
      <x:c r="Q26" s="34" t="str">
        <x:v>aroma?</x:v>
      </x:c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1.12</x:v>
      </x:c>
      <x:c r="M27" s="33" t="n">
        <x:v>11.6</x:v>
      </x:c>
      <x:c r="N27" s="33" t="str">
        <x:v>brown</x:v>
      </x:c>
      <x:c r="O27" s="33" t="str">
        <x:v>N</x:v>
      </x:c>
      <x:c r="P27" s="33" t="n">
        <x:v>33.5</x:v>
      </x:c>
      <x:c r="Q27" s="34" t="str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1.17</x:v>
      </x:c>
      <x:c r="M28" s="33" t="n">
        <x:v>11.1</x:v>
      </x:c>
      <x:c r="N28" s="33" t="str">
        <x:v>brown</x:v>
      </x:c>
      <x:c r="O28" s="33" t="str">
        <x:v>N</x:v>
      </x:c>
      <x:c r="P28" s="33" t="n">
        <x:v>33.7</x:v>
      </x:c>
      <x:c r="Q28" s="34" t="str">
        <x:v>check</x:v>
      </x:c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1.25</x:v>
      </x:c>
      <x:c r="M29" s="36" t="n">
        <x:v>11.5</x:v>
      </x:c>
      <x:c r="N29" s="36" t="str">
        <x:v>tan</x:v>
      </x:c>
      <x:c r="O29" s="36" t="str">
        <x:v>Y</x:v>
      </x:c>
      <x:c r="P29" s="36" t="n">
        <x:v>33.5</x:v>
      </x:c>
      <x:c r="Q29" s="37" t="str">
        <x:v>aroma?</x:v>
      </x:c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  <x:drawing xmlns:r="http://schemas.openxmlformats.org/officeDocument/2006/relationships" r:id="R3d8d9cb22682493b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195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84</x:v>
      </x:c>
      <x:c r="L10" s="30" t="n">
        <x:v>0.23</x:v>
      </x:c>
      <x:c r="M10" s="30" t="n">
        <x:v>0.5</x:v>
      </x:c>
      <x:c r="N10" s="30" t="str">
        <x:v>tan</x:v>
      </x:c>
      <x:c r="O10" s="30" t="str">
        <x:v>Y</x:v>
      </x:c>
      <x:c r="P10" s="30" t="n">
        <x:v>36.9</x:v>
      </x:c>
      <x:c r="Q10" s="31" t="str">
        <x:v>check</x:v>
      </x:c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82.9</x:v>
      </x:c>
      <x:c r="L11" s="33" t="n">
        <x:v>0.25</x:v>
      </x:c>
      <x:c r="M11" s="33" t="n">
        <x:v>0.7</x:v>
      </x:c>
      <x:c r="N11" s="33" t="str">
        <x:v>brown</x:v>
      </x:c>
      <x:c r="O11" s="33" t="str">
        <x:v>N</x:v>
      </x:c>
      <x:c r="P11" s="33" t="n">
        <x:v>36.8</x:v>
      </x:c>
      <x:c r="Q11" s="34" t="str">
        <x:v>check</x:v>
      </x:c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102.2</x:v>
      </x:c>
      <x:c r="L12" s="33" t="n">
        <x:v>0.32</x:v>
      </x:c>
      <x:c r="M12" s="33" t="n">
        <x:v>2.2</x:v>
      </x:c>
      <x:c r="N12" s="33" t="str">
        <x:v>dark</x:v>
      </x:c>
      <x:c r="O12" s="33" t="str">
        <x:v>N</x:v>
      </x:c>
      <x:c r="P12" s="33" t="n">
        <x:v>36.3</x:v>
      </x:c>
      <x:c r="Q12" s="34" t="str">
        <x:v>aroma?</x:v>
      </x:c>
      <x:c r="R12" s="33"/>
      <x:c r="S12" s="35" t="str">
        <x:v>temp set</x:v>
      </x:c>
      <x:c r="T12" s="36" t="str">
        <x:v>℃</x:v>
      </x:c>
      <x:c r="U12" s="36" t="n">
        <x:v>195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104</x:v>
      </x:c>
      <x:c r="L13" s="33" t="n">
        <x:v>0.35</x:v>
      </x:c>
      <x:c r="M13" s="33" t="n">
        <x:v>2.5</x:v>
      </x:c>
      <x:c r="N13" s="33" t="str">
        <x:v>tan</x:v>
      </x:c>
      <x:c r="O13" s="33" t="str">
        <x:v>N</x:v>
      </x:c>
      <x:c r="P13" s="33" t="n">
        <x:v>36.2</x:v>
      </x:c>
      <x:c r="Q13" s="34" t="str">
        <x:v>aroma?</x:v>
      </x:c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120.4</x:v>
      </x:c>
      <x:c r="L14" s="33" t="n">
        <x:v>0.48</x:v>
      </x:c>
      <x:c r="M14" s="33" t="n">
        <x:v>4</x:v>
      </x:c>
      <x:c r="N14" s="33" t="str">
        <x:v>brown</x:v>
      </x:c>
      <x:c r="O14" s="33" t="str">
        <x:v>Y</x:v>
      </x:c>
      <x:c r="P14" s="33" t="n">
        <x:v>35.8</x:v>
      </x:c>
      <x:c r="Q14" s="34" t="str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121.6</x:v>
      </x:c>
      <x:c r="L15" s="33" t="n">
        <x:v>0.52</x:v>
      </x:c>
      <x:c r="M15" s="33" t="n">
        <x:v>3.6</x:v>
      </x:c>
      <x:c r="N15" s="33" t="str">
        <x:v>tan</x:v>
      </x:c>
      <x:c r="O15" s="33" t="str">
        <x:v>Y</x:v>
      </x:c>
      <x:c r="P15" s="33" t="n">
        <x:v>35.9</x:v>
      </x:c>
      <x:c r="Q15" s="34" t="str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139.8</x:v>
      </x:c>
      <x:c r="L16" s="33" t="n">
        <x:v>0.59</x:v>
      </x:c>
      <x:c r="M16" s="33" t="n">
        <x:v>5.1</x:v>
      </x:c>
      <x:c r="N16" s="33" t="str">
        <x:v>dark</x:v>
      </x:c>
      <x:c r="O16" s="33" t="str">
        <x:v>Y</x:v>
      </x:c>
      <x:c r="P16" s="33" t="n">
        <x:v>35.5</x:v>
      </x:c>
      <x:c r="Q16" s="34" t="str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141.3</x:v>
      </x:c>
      <x:c r="L17" s="33" t="n">
        <x:v>0.66</x:v>
      </x:c>
      <x:c r="M17" s="33" t="n">
        <x:v>5.4</x:v>
      </x:c>
      <x:c r="N17" s="33" t="str">
        <x:v>tan</x:v>
      </x:c>
      <x:c r="O17" s="33" t="str">
        <x:v>N</x:v>
      </x:c>
      <x:c r="P17" s="33" t="n">
        <x:v>35.4</x:v>
      </x:c>
      <x:c r="Q17" s="34" t="str">
        <x:v>aroma?</x:v>
      </x:c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160.5</x:v>
      </x:c>
      <x:c r="L18" s="33" t="n">
        <x:v>0.74</x:v>
      </x:c>
      <x:c r="M18" s="33" t="n">
        <x:v>6.9</x:v>
      </x:c>
      <x:c r="N18" s="33" t="str">
        <x:v>tan</x:v>
      </x:c>
      <x:c r="O18" s="33" t="str">
        <x:v>N</x:v>
      </x:c>
      <x:c r="P18" s="33" t="n">
        <x:v>34.9</x:v>
      </x:c>
      <x:c r="Q18" s="34" t="str">
        <x:v>aroma?</x:v>
      </x:c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160.3</x:v>
      </x:c>
      <x:c r="L19" s="33" t="n">
        <x:v>0.82</x:v>
      </x:c>
      <x:c r="M19" s="33" t="n">
        <x:v>7.2</x:v>
      </x:c>
      <x:c r="N19" s="33" t="str">
        <x:v>tan</x:v>
      </x:c>
      <x:c r="O19" s="33" t="str">
        <x:v>Y</x:v>
      </x:c>
      <x:c r="P19" s="33" t="n">
        <x:v>34.8</x:v>
      </x:c>
      <x:c r="Q19" s="34" t="str">
        <x:v>aroma?</x:v>
      </x:c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161.2</x:v>
      </x:c>
      <x:c r="L20" s="33" t="n">
        <x:v>0.85</x:v>
      </x:c>
      <x:c r="M20" s="33" t="n">
        <x:v>7.2</x:v>
      </x:c>
      <x:c r="N20" s="33" t="str">
        <x:v>tan</x:v>
      </x:c>
      <x:c r="O20" s="33" t="str">
        <x:v>N</x:v>
      </x:c>
      <x:c r="P20" s="33" t="n">
        <x:v>34.8</x:v>
      </x:c>
      <x:c r="Q20" s="34" t="str">
        <x:v>aroma?</x:v>
      </x:c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178.5</x:v>
      </x:c>
      <x:c r="L21" s="33" t="n">
        <x:v>0.87</x:v>
      </x:c>
      <x:c r="M21" s="33" t="n">
        <x:v>8.4</x:v>
      </x:c>
      <x:c r="N21" s="33" t="str">
        <x:v>tan</x:v>
      </x:c>
      <x:c r="O21" s="33" t="str">
        <x:v>N</x:v>
      </x:c>
      <x:c r="P21" s="33" t="n">
        <x:v>34.5</x:v>
      </x:c>
      <x:c r="Q21" s="34" t="str">
        <x:v>aroma?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180.9</x:v>
      </x:c>
      <x:c r="L22" s="33" t="n">
        <x:v>0.92</x:v>
      </x:c>
      <x:c r="M22" s="33" t="n">
        <x:v>8.2</x:v>
      </x:c>
      <x:c r="N22" s="33" t="str">
        <x:v>brown</x:v>
      </x:c>
      <x:c r="O22" s="33" t="str">
        <x:v>N</x:v>
      </x:c>
      <x:c r="P22" s="33" t="n">
        <x:v>34.5</x:v>
      </x:c>
      <x:c r="Q22" s="34" t="str">
        <x:v>check</x:v>
      </x:c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180.3</x:v>
      </x:c>
      <x:c r="L23" s="33" t="n">
        <x:v>0.94</x:v>
      </x:c>
      <x:c r="M23" s="33" t="n">
        <x:v>8.8</x:v>
      </x:c>
      <x:c r="N23" s="33" t="str">
        <x:v>brown</x:v>
      </x:c>
      <x:c r="O23" s="33" t="str">
        <x:v>Y</x:v>
      </x:c>
      <x:c r="P23" s="33" t="n">
        <x:v>34.4</x:v>
      </x:c>
      <x:c r="Q23" s="34" t="str">
        <x:v>check</x:v>
      </x:c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197.4</x:v>
      </x:c>
      <x:c r="L24" s="33" t="n">
        <x:v>1</x:v>
      </x:c>
      <x:c r="M24" s="33" t="n">
        <x:v>9.8</x:v>
      </x:c>
      <x:c r="N24" s="33" t="str">
        <x:v>dark</x:v>
      </x:c>
      <x:c r="O24" s="33" t="str">
        <x:v>Y</x:v>
      </x:c>
      <x:c r="P24" s="33" t="n">
        <x:v>34.1</x:v>
      </x:c>
      <x:c r="Q24" s="34" t="str">
        <x:v>check</x:v>
      </x:c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200.1</x:v>
      </x:c>
      <x:c r="L25" s="33" t="n">
        <x:v>1.04</x:v>
      </x:c>
      <x:c r="M25" s="33" t="n">
        <x:v>9.7</x:v>
      </x:c>
      <x:c r="N25" s="33" t="str">
        <x:v>brown</x:v>
      </x:c>
      <x:c r="O25" s="33" t="str">
        <x:v>Y</x:v>
      </x:c>
      <x:c r="P25" s="33" t="n">
        <x:v>34.1</x:v>
      </x:c>
      <x:c r="Q25" s="34" t="str">
        <x:v>aroma?</x:v>
      </x:c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198.9</x:v>
      </x:c>
      <x:c r="L26" s="33" t="n">
        <x:v>1.11</x:v>
      </x:c>
      <x:c r="M26" s="33" t="n">
        <x:v>10.1</x:v>
      </x:c>
      <x:c r="N26" s="33" t="str">
        <x:v>tan</x:v>
      </x:c>
      <x:c r="O26" s="33" t="str">
        <x:v>N</x:v>
      </x:c>
      <x:c r="P26" s="33" t="n">
        <x:v>34</x:v>
      </x:c>
      <x:c r="Q26" s="34" t="str">
        <x:v>check</x:v>
      </x:c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1.19</x:v>
      </x:c>
      <x:c r="M27" s="33" t="n">
        <x:v>11.9</x:v>
      </x:c>
      <x:c r="N27" s="33" t="str">
        <x:v>dark</x:v>
      </x:c>
      <x:c r="O27" s="33" t="str">
        <x:v>N</x:v>
      </x:c>
      <x:c r="P27" s="33" t="n">
        <x:v>33.4</x:v>
      </x:c>
      <x:c r="Q27" s="34" t="str">
        <x:v>check</x:v>
      </x:c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1.17</x:v>
      </x:c>
      <x:c r="M28" s="33" t="n">
        <x:v>11.2</x:v>
      </x:c>
      <x:c r="N28" s="33" t="str">
        <x:v>brown</x:v>
      </x:c>
      <x:c r="O28" s="33" t="str">
        <x:v>N</x:v>
      </x:c>
      <x:c r="P28" s="33" t="n">
        <x:v>33.6</x:v>
      </x:c>
      <x:c r="Q28" s="34" t="str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1.22</x:v>
      </x:c>
      <x:c r="M29" s="36" t="n">
        <x:v>11.8</x:v>
      </x:c>
      <x:c r="N29" s="36" t="str">
        <x:v>brown</x:v>
      </x:c>
      <x:c r="O29" s="36" t="str">
        <x:v>Y</x:v>
      </x:c>
      <x:c r="P29" s="36" t="n">
        <x:v>33.5</x:v>
      </x:c>
      <x:c r="Q29" s="37" t="str">
        <x:v>aroma?</x:v>
      </x:c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200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84.6</x:v>
      </x:c>
      <x:c r="L10" s="30" t="n">
        <x:v>0.14</x:v>
      </x:c>
      <x:c r="M10" s="30" t="n">
        <x:v>0.9</x:v>
      </x:c>
      <x:c r="N10" s="30" t="str">
        <x:v>tan</x:v>
      </x:c>
      <x:c r="O10" s="30" t="str">
        <x:v>N</x:v>
      </x:c>
      <x:c r="P10" s="30" t="n">
        <x:v>36.7</x:v>
      </x:c>
      <x:c r="Q10" s="31" t="str">
        <x:v>check</x:v>
      </x:c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86.4</x:v>
      </x:c>
      <x:c r="L11" s="33" t="n">
        <x:v>0.23</x:v>
      </x:c>
      <x:c r="M11" s="33" t="n">
        <x:v>0.9</x:v>
      </x:c>
      <x:c r="N11" s="33" t="str">
        <x:v>tan</x:v>
      </x:c>
      <x:c r="O11" s="33" t="str">
        <x:v>N</x:v>
      </x:c>
      <x:c r="P11" s="33" t="n">
        <x:v>36.7</x:v>
      </x:c>
      <x:c r="Q11" s="34" t="str"/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103.5</x:v>
      </x:c>
      <x:c r="L12" s="33" t="n">
        <x:v>0.32</x:v>
      </x:c>
      <x:c r="M12" s="33" t="n">
        <x:v>2.4</x:v>
      </x:c>
      <x:c r="N12" s="33" t="str">
        <x:v>brown</x:v>
      </x:c>
      <x:c r="O12" s="33" t="str">
        <x:v>N</x:v>
      </x:c>
      <x:c r="P12" s="33" t="n">
        <x:v>36.3</x:v>
      </x:c>
      <x:c r="Q12" s="34" t="str">
        <x:v>check</x:v>
      </x:c>
      <x:c r="R12" s="33"/>
      <x:c r="S12" s="35" t="str">
        <x:v>temp set</x:v>
      </x:c>
      <x:c r="T12" s="36" t="str">
        <x:v>℃</x:v>
      </x:c>
      <x:c r="U12" s="36" t="n">
        <x:v>200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104.4</x:v>
      </x:c>
      <x:c r="L13" s="33" t="n">
        <x:v>0.38</x:v>
      </x:c>
      <x:c r="M13" s="33" t="n">
        <x:v>2.2</x:v>
      </x:c>
      <x:c r="N13" s="33" t="str">
        <x:v>dark</x:v>
      </x:c>
      <x:c r="O13" s="33" t="str">
        <x:v>Y</x:v>
      </x:c>
      <x:c r="P13" s="33" t="n">
        <x:v>36.3</x:v>
      </x:c>
      <x:c r="Q13" s="34" t="str">
        <x:v>check</x:v>
      </x:c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124</x:v>
      </x:c>
      <x:c r="L14" s="33" t="n">
        <x:v>0.49</x:v>
      </x:c>
      <x:c r="M14" s="33" t="n">
        <x:v>3.9</x:v>
      </x:c>
      <x:c r="N14" s="33" t="str">
        <x:v>dark</x:v>
      </x:c>
      <x:c r="O14" s="33" t="str">
        <x:v>N</x:v>
      </x:c>
      <x:c r="P14" s="33" t="n">
        <x:v>35.8</x:v>
      </x:c>
      <x:c r="Q14" s="34" t="str">
        <x:v>aroma?</x:v>
      </x:c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124.9</x:v>
      </x:c>
      <x:c r="L15" s="33" t="n">
        <x:v>0.51</x:v>
      </x:c>
      <x:c r="M15" s="33" t="n">
        <x:v>3.9</x:v>
      </x:c>
      <x:c r="N15" s="33" t="str">
        <x:v>dark</x:v>
      </x:c>
      <x:c r="O15" s="33" t="str">
        <x:v>N</x:v>
      </x:c>
      <x:c r="P15" s="33" t="n">
        <x:v>35.8</x:v>
      </x:c>
      <x:c r="Q15" s="34" t="str">
        <x:v>check</x:v>
      </x:c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141.3</x:v>
      </x:c>
      <x:c r="L16" s="33" t="n">
        <x:v>0.59</x:v>
      </x:c>
      <x:c r="M16" s="33" t="n">
        <x:v>5.4</x:v>
      </x:c>
      <x:c r="N16" s="33" t="str">
        <x:v>dark</x:v>
      </x:c>
      <x:c r="O16" s="33" t="str">
        <x:v>Y</x:v>
      </x:c>
      <x:c r="P16" s="33" t="n">
        <x:v>35.4</x:v>
      </x:c>
      <x:c r="Q16" s="34" t="str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143.8</x:v>
      </x:c>
      <x:c r="L17" s="33" t="n">
        <x:v>0.65</x:v>
      </x:c>
      <x:c r="M17" s="33" t="n">
        <x:v>5.5</x:v>
      </x:c>
      <x:c r="N17" s="33" t="str">
        <x:v>tan</x:v>
      </x:c>
      <x:c r="O17" s="33" t="str">
        <x:v>N</x:v>
      </x:c>
      <x:c r="P17" s="33" t="n">
        <x:v>35.4</x:v>
      </x:c>
      <x:c r="Q17" s="34" t="str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161.4</x:v>
      </x:c>
      <x:c r="L18" s="33" t="n">
        <x:v>0.72</x:v>
      </x:c>
      <x:c r="M18" s="33" t="n">
        <x:v>7.1</x:v>
      </x:c>
      <x:c r="N18" s="33" t="str">
        <x:v>tan</x:v>
      </x:c>
      <x:c r="O18" s="33" t="str">
        <x:v>N</x:v>
      </x:c>
      <x:c r="P18" s="33" t="n">
        <x:v>34.9</x:v>
      </x:c>
      <x:c r="Q18" s="34" t="str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163</x:v>
      </x:c>
      <x:c r="L19" s="33" t="n">
        <x:v>0.76</x:v>
      </x:c>
      <x:c r="M19" s="33" t="n">
        <x:v>6.8</x:v>
      </x:c>
      <x:c r="N19" s="33" t="str">
        <x:v>dark</x:v>
      </x:c>
      <x:c r="O19" s="33" t="str">
        <x:v>N</x:v>
      </x:c>
      <x:c r="P19" s="33" t="n">
        <x:v>35</x:v>
      </x:c>
      <x:c r="Q19" s="34" t="str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162.9</x:v>
      </x:c>
      <x:c r="L20" s="33" t="n">
        <x:v>0.81</x:v>
      </x:c>
      <x:c r="M20" s="33" t="n">
        <x:v>7.3</x:v>
      </x:c>
      <x:c r="N20" s="33" t="str">
        <x:v>brown</x:v>
      </x:c>
      <x:c r="O20" s="33" t="str">
        <x:v>N</x:v>
      </x:c>
      <x:c r="P20" s="33" t="n">
        <x:v>34.8</x:v>
      </x:c>
      <x:c r="Q20" s="34" t="str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180.7</x:v>
      </x:c>
      <x:c r="L21" s="33" t="n">
        <x:v>0.89</x:v>
      </x:c>
      <x:c r="M21" s="33" t="n">
        <x:v>9</x:v>
      </x:c>
      <x:c r="N21" s="33" t="str">
        <x:v>dark</x:v>
      </x:c>
      <x:c r="O21" s="33" t="str">
        <x:v>N</x:v>
      </x:c>
      <x:c r="P21" s="33" t="n">
        <x:v>34.3</x:v>
      </x:c>
      <x:c r="Q21" s="34" t="str">
        <x:v>check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180.5</x:v>
      </x:c>
      <x:c r="L22" s="33" t="n">
        <x:v>0.9</x:v>
      </x:c>
      <x:c r="M22" s="33" t="n">
        <x:v>8.3</x:v>
      </x:c>
      <x:c r="N22" s="33" t="str">
        <x:v>tan</x:v>
      </x:c>
      <x:c r="O22" s="33" t="str">
        <x:v>N</x:v>
      </x:c>
      <x:c r="P22" s="33" t="n">
        <x:v>34.5</x:v>
      </x:c>
      <x:c r="Q22" s="34" t="str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181.8</x:v>
      </x:c>
      <x:c r="L23" s="33" t="n">
        <x:v>0.97</x:v>
      </x:c>
      <x:c r="M23" s="33" t="n">
        <x:v>8.7</x:v>
      </x:c>
      <x:c r="N23" s="33" t="str">
        <x:v>dark</x:v>
      </x:c>
      <x:c r="O23" s="33" t="str">
        <x:v>N</x:v>
      </x:c>
      <x:c r="P23" s="33" t="n">
        <x:v>34.4</x:v>
      </x:c>
      <x:c r="Q23" s="34" t="str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200.1</x:v>
      </x:c>
      <x:c r="L24" s="33" t="n">
        <x:v>1.02</x:v>
      </x:c>
      <x:c r="M24" s="33" t="n">
        <x:v>10.3</x:v>
      </x:c>
      <x:c r="N24" s="33" t="str">
        <x:v>dark</x:v>
      </x:c>
      <x:c r="O24" s="33" t="str">
        <x:v>N</x:v>
      </x:c>
      <x:c r="P24" s="33" t="n">
        <x:v>33.9</x:v>
      </x:c>
      <x:c r="Q24" s="34" t="str">
        <x:v>aroma?</x:v>
      </x:c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199.8</x:v>
      </x:c>
      <x:c r="L25" s="33" t="n">
        <x:v>1.05</x:v>
      </x:c>
      <x:c r="M25" s="33" t="n">
        <x:v>10.4</x:v>
      </x:c>
      <x:c r="N25" s="33" t="str">
        <x:v>dark</x:v>
      </x:c>
      <x:c r="O25" s="33" t="str">
        <x:v>N</x:v>
      </x:c>
      <x:c r="P25" s="33" t="n">
        <x:v>33.9</x:v>
      </x:c>
      <x:c r="Q25" s="34" t="str">
        <x:v>aroma?</x:v>
      </x:c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200.7</x:v>
      </x:c>
      <x:c r="L26" s="33" t="n">
        <x:v>1.05</x:v>
      </x:c>
      <x:c r="M26" s="33" t="n">
        <x:v>10.1</x:v>
      </x:c>
      <x:c r="N26" s="33" t="str">
        <x:v>dark</x:v>
      </x:c>
      <x:c r="O26" s="33" t="str">
        <x:v>N</x:v>
      </x:c>
      <x:c r="P26" s="33" t="n">
        <x:v>34</x:v>
      </x:c>
      <x:c r="Q26" s="34" t="str">
        <x:v>check</x:v>
      </x:c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1.16</x:v>
      </x:c>
      <x:c r="M27" s="33" t="n">
        <x:v>11.5</x:v>
      </x:c>
      <x:c r="N27" s="33" t="str">
        <x:v>tan</x:v>
      </x:c>
      <x:c r="O27" s="33" t="str">
        <x:v>N</x:v>
      </x:c>
      <x:c r="P27" s="33" t="n">
        <x:v>33.5</x:v>
      </x:c>
      <x:c r="Q27" s="34" t="str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1.19</x:v>
      </x:c>
      <x:c r="M28" s="33" t="n">
        <x:v>11.6</x:v>
      </x:c>
      <x:c r="N28" s="33" t="str">
        <x:v>tan</x:v>
      </x:c>
      <x:c r="O28" s="33" t="str">
        <x:v>Y</x:v>
      </x:c>
      <x:c r="P28" s="33" t="n">
        <x:v>33.5</x:v>
      </x:c>
      <x:c r="Q28" s="34" t="str">
        <x:v>aroma?</x:v>
      </x:c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1.21</x:v>
      </x:c>
      <x:c r="M29" s="36" t="n">
        <x:v>11.6</x:v>
      </x:c>
      <x:c r="N29" s="36" t="str">
        <x:v>tan</x:v>
      </x:c>
      <x:c r="O29" s="36" t="str">
        <x:v>Y</x:v>
      </x:c>
      <x:c r="P29" s="36" t="n">
        <x:v>33.5</x:v>
      </x:c>
      <x:c r="Q29" s="37" t="str">
        <x:v>check</x:v>
      </x:c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  <x:drawing xmlns:r="http://schemas.openxmlformats.org/officeDocument/2006/relationships" r:id="R9f7d00934ea840bf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205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85.3</x:v>
      </x:c>
      <x:c r="L10" s="30" t="n">
        <x:v>0.15</x:v>
      </x:c>
      <x:c r="M10" s="30" t="n">
        <x:v>1.4</x:v>
      </x:c>
      <x:c r="N10" s="30" t="str">
        <x:v>brown</x:v>
      </x:c>
      <x:c r="O10" s="30" t="str">
        <x:v>Y</x:v>
      </x:c>
      <x:c r="P10" s="30" t="n">
        <x:v>36.6</x:v>
      </x:c>
      <x:c r="Q10" s="31" t="str">
        <x:v>aroma?</x:v>
      </x:c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88.3</x:v>
      </x:c>
      <x:c r="L11" s="33" t="n">
        <x:v>0.21</x:v>
      </x:c>
      <x:c r="M11" s="33" t="n">
        <x:v>1.2</x:v>
      </x:c>
      <x:c r="N11" s="33" t="str">
        <x:v>dark</x:v>
      </x:c>
      <x:c r="O11" s="33" t="str">
        <x:v>Y</x:v>
      </x:c>
      <x:c r="P11" s="33" t="n">
        <x:v>36.6</x:v>
      </x:c>
      <x:c r="Q11" s="34" t="str">
        <x:v>aroma?</x:v>
      </x:c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105.8</x:v>
      </x:c>
      <x:c r="L12" s="33" t="n">
        <x:v>0.28</x:v>
      </x:c>
      <x:c r="M12" s="33" t="n">
        <x:v>2.9</x:v>
      </x:c>
      <x:c r="N12" s="33" t="str">
        <x:v>dark</x:v>
      </x:c>
      <x:c r="O12" s="33" t="str">
        <x:v>Y</x:v>
      </x:c>
      <x:c r="P12" s="33" t="n">
        <x:v>36.1</x:v>
      </x:c>
      <x:c r="Q12" s="34" t="str">
        <x:v>aroma?</x:v>
      </x:c>
      <x:c r="R12" s="33"/>
      <x:c r="S12" s="35" t="str">
        <x:v>temp set</x:v>
      </x:c>
      <x:c r="T12" s="36" t="str">
        <x:v>℃</x:v>
      </x:c>
      <x:c r="U12" s="36" t="n">
        <x:v>205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107.6</x:v>
      </x:c>
      <x:c r="L13" s="33" t="n">
        <x:v>0.32</x:v>
      </x:c>
      <x:c r="M13" s="33" t="n">
        <x:v>2.4</x:v>
      </x:c>
      <x:c r="N13" s="33" t="str">
        <x:v>dark</x:v>
      </x:c>
      <x:c r="O13" s="33" t="str">
        <x:v>Y</x:v>
      </x:c>
      <x:c r="P13" s="33" t="n">
        <x:v>36.3</x:v>
      </x:c>
      <x:c r="Q13" s="34" t="str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123.6</x:v>
      </x:c>
      <x:c r="L14" s="33" t="n">
        <x:v>0.45</x:v>
      </x:c>
      <x:c r="M14" s="33" t="n">
        <x:v>4.2</x:v>
      </x:c>
      <x:c r="N14" s="33" t="str">
        <x:v>tan</x:v>
      </x:c>
      <x:c r="O14" s="33" t="str">
        <x:v>Y</x:v>
      </x:c>
      <x:c r="P14" s="33" t="n">
        <x:v>35.7</x:v>
      </x:c>
      <x:c r="Q14" s="34" t="str">
        <x:v>check</x:v>
      </x:c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126.1</x:v>
      </x:c>
      <x:c r="L15" s="33" t="n">
        <x:v>0.45</x:v>
      </x:c>
      <x:c r="M15" s="33" t="n">
        <x:v>4.2</x:v>
      </x:c>
      <x:c r="N15" s="33" t="str">
        <x:v>brown</x:v>
      </x:c>
      <x:c r="O15" s="33" t="str">
        <x:v>N</x:v>
      </x:c>
      <x:c r="P15" s="33" t="n">
        <x:v>35.7</x:v>
      </x:c>
      <x:c r="Q15" s="34" t="str">
        <x:v>aroma?</x:v>
      </x:c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145.2</x:v>
      </x:c>
      <x:c r="L16" s="33" t="n">
        <x:v>0.6</x:v>
      </x:c>
      <x:c r="M16" s="33" t="n">
        <x:v>5.8</x:v>
      </x:c>
      <x:c r="N16" s="33" t="str">
        <x:v>tan</x:v>
      </x:c>
      <x:c r="O16" s="33" t="str">
        <x:v>N</x:v>
      </x:c>
      <x:c r="P16" s="33" t="n">
        <x:v>35.3</x:v>
      </x:c>
      <x:c r="Q16" s="34" t="str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144.3</x:v>
      </x:c>
      <x:c r="L17" s="33" t="n">
        <x:v>0.58</x:v>
      </x:c>
      <x:c r="M17" s="33" t="n">
        <x:v>5.9</x:v>
      </x:c>
      <x:c r="N17" s="33" t="str">
        <x:v>dark</x:v>
      </x:c>
      <x:c r="O17" s="33" t="str">
        <x:v>Y</x:v>
      </x:c>
      <x:c r="P17" s="33" t="n">
        <x:v>35.2</x:v>
      </x:c>
      <x:c r="Q17" s="34" t="str">
        <x:v>check</x:v>
      </x:c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163.2</x:v>
      </x:c>
      <x:c r="L18" s="33" t="n">
        <x:v>0.74</x:v>
      </x:c>
      <x:c r="M18" s="33" t="n">
        <x:v>7</x:v>
      </x:c>
      <x:c r="N18" s="33" t="str">
        <x:v>dark</x:v>
      </x:c>
      <x:c r="O18" s="33" t="str">
        <x:v>N</x:v>
      </x:c>
      <x:c r="P18" s="33" t="n">
        <x:v>34.9</x:v>
      </x:c>
      <x:c r="Q18" s="34" t="str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163.6</x:v>
      </x:c>
      <x:c r="L19" s="33" t="n">
        <x:v>0.72</x:v>
      </x:c>
      <x:c r="M19" s="33" t="n">
        <x:v>7.1</x:v>
      </x:c>
      <x:c r="N19" s="33" t="str">
        <x:v>tan</x:v>
      </x:c>
      <x:c r="O19" s="33" t="str">
        <x:v>N</x:v>
      </x:c>
      <x:c r="P19" s="33" t="n">
        <x:v>34.9</x:v>
      </x:c>
      <x:c r="Q19" s="34" t="str">
        <x:v>aroma?</x:v>
      </x:c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166.3</x:v>
      </x:c>
      <x:c r="L20" s="33" t="n">
        <x:v>0.76</x:v>
      </x:c>
      <x:c r="M20" s="33" t="n">
        <x:v>7.1</x:v>
      </x:c>
      <x:c r="N20" s="33" t="str">
        <x:v>brown</x:v>
      </x:c>
      <x:c r="O20" s="33" t="str">
        <x:v>Y</x:v>
      </x:c>
      <x:c r="P20" s="33" t="n">
        <x:v>34.9</x:v>
      </x:c>
      <x:c r="Q20" s="34" t="str">
        <x:v>check</x:v>
      </x:c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183</x:v>
      </x:c>
      <x:c r="L21" s="33" t="n">
        <x:v>0.88</x:v>
      </x:c>
      <x:c r="M21" s="33" t="n">
        <x:v>9.1</x:v>
      </x:c>
      <x:c r="N21" s="33" t="str">
        <x:v>dark</x:v>
      </x:c>
      <x:c r="O21" s="33" t="str">
        <x:v>N</x:v>
      </x:c>
      <x:c r="P21" s="33" t="n">
        <x:v>34.3</x:v>
      </x:c>
      <x:c r="Q21" s="34" t="str">
        <x:v>check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183.9</x:v>
      </x:c>
      <x:c r="L22" s="33" t="n">
        <x:v>0.87</x:v>
      </x:c>
      <x:c r="M22" s="33" t="n">
        <x:v>8.6</x:v>
      </x:c>
      <x:c r="N22" s="33" t="str">
        <x:v>dark</x:v>
      </x:c>
      <x:c r="O22" s="33" t="str">
        <x:v>N</x:v>
      </x:c>
      <x:c r="P22" s="33" t="n">
        <x:v>34.4</x:v>
      </x:c>
      <x:c r="Q22" s="34" t="str">
        <x:v>aroma?</x:v>
      </x:c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183.7</x:v>
      </x:c>
      <x:c r="L23" s="33" t="n">
        <x:v>0.93</x:v>
      </x:c>
      <x:c r="M23" s="33" t="n">
        <x:v>8.7</x:v>
      </x:c>
      <x:c r="N23" s="33" t="str">
        <x:v>brown</x:v>
      </x:c>
      <x:c r="O23" s="33" t="str">
        <x:v>N</x:v>
      </x:c>
      <x:c r="P23" s="33" t="n">
        <x:v>34.4</x:v>
      </x:c>
      <x:c r="Q23" s="34" t="str">
        <x:v>check</x:v>
      </x:c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200.5</x:v>
      </x:c>
      <x:c r="L24" s="33" t="n">
        <x:v>0.96</x:v>
      </x:c>
      <x:c r="M24" s="33" t="n">
        <x:v>10.7</x:v>
      </x:c>
      <x:c r="N24" s="33" t="str">
        <x:v>tan</x:v>
      </x:c>
      <x:c r="O24" s="33" t="str">
        <x:v>N</x:v>
      </x:c>
      <x:c r="P24" s="33" t="n">
        <x:v>33.8</x:v>
      </x:c>
      <x:c r="Q24" s="34" t="str">
        <x:v>aroma?</x:v>
      </x:c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203.2</x:v>
      </x:c>
      <x:c r="L25" s="33" t="n">
        <x:v>1.04</x:v>
      </x:c>
      <x:c r="M25" s="33" t="n">
        <x:v>10.6</x:v>
      </x:c>
      <x:c r="N25" s="33" t="str">
        <x:v>tan</x:v>
      </x:c>
      <x:c r="O25" s="33" t="str">
        <x:v>N</x:v>
      </x:c>
      <x:c r="P25" s="33" t="n">
        <x:v>33.8</x:v>
      </x:c>
      <x:c r="Q25" s="34" t="str">
        <x:v>check</x:v>
      </x:c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202.6</x:v>
      </x:c>
      <x:c r="L26" s="33" t="n">
        <x:v>1.04</x:v>
      </x:c>
      <x:c r="M26" s="33" t="n">
        <x:v>10.3</x:v>
      </x:c>
      <x:c r="N26" s="33" t="str">
        <x:v>tan</x:v>
      </x:c>
      <x:c r="O26" s="33" t="str">
        <x:v>N</x:v>
      </x:c>
      <x:c r="P26" s="33" t="n">
        <x:v>33.9</x:v>
      </x:c>
      <x:c r="Q26" s="34" t="str">
        <x:v>check</x:v>
      </x:c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1.1</x:v>
      </x:c>
      <x:c r="M27" s="33" t="n">
        <x:v>11.9</x:v>
      </x:c>
      <x:c r="N27" s="33" t="str">
        <x:v>tan</x:v>
      </x:c>
      <x:c r="O27" s="33" t="str">
        <x:v>N</x:v>
      </x:c>
      <x:c r="P27" s="33" t="n">
        <x:v>33.4</x:v>
      </x:c>
      <x:c r="Q27" s="34" t="str">
        <x:v>aroma?</x:v>
      </x:c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1.13</x:v>
      </x:c>
      <x:c r="M28" s="33" t="n">
        <x:v>12</x:v>
      </x:c>
      <x:c r="N28" s="33" t="str">
        <x:v>tan</x:v>
      </x:c>
      <x:c r="O28" s="33" t="str">
        <x:v>Y</x:v>
      </x:c>
      <x:c r="P28" s="33" t="n">
        <x:v>33.4</x:v>
      </x:c>
      <x:c r="Q28" s="34" t="str">
        <x:v>aroma?</x:v>
      </x:c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1.22</x:v>
      </x:c>
      <x:c r="M29" s="36" t="n">
        <x:v>12</x:v>
      </x:c>
      <x:c r="N29" s="36" t="str">
        <x:v>dark</x:v>
      </x:c>
      <x:c r="O29" s="36" t="str">
        <x:v>N</x:v>
      </x:c>
      <x:c r="P29" s="36" t="n">
        <x:v>33.4</x:v>
      </x:c>
      <x:c r="Q29" s="37" t="str">
        <x:v>check</x:v>
      </x:c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33"/>
      <x:c r="D4" s="33"/>
      <x:c r="E4" s="187" t="str">
        <x:v>커피 oven 210 / mixed record β</x:v>
      </x:c>
      <x:c r="F4" s="188"/>
      <x:c r="G4" s="188"/>
      <x:c r="H4" s="188"/>
      <x:c r="I4" s="188"/>
      <x:c r="J4" s="188"/>
      <x:c r="K4" s="188"/>
      <x:c r="L4" s="188"/>
      <x:c r="M4" s="188"/>
      <x:c r="N4" s="188"/>
      <x:c r="O4" s="188"/>
      <x:c r="P4" s="188"/>
      <x:c r="Q4" s="189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33"/>
      <x:c r="D5" s="33"/>
      <x:c r="E5" s="190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2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95" t="str">
        <x:v>실험자 메모
coffee aroma ↓ over 205?
probe 위치가 1회 흔들림
★ 195 쪽이 판매반응 좋음
수치 단위 주의</x:v>
      </x:c>
      <x:c r="C7" s="93"/>
      <x:c r="D7" s="93"/>
      <x:c r="E7" s="93"/>
      <x:c r="F7" s="94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98"/>
      <x:c r="C8" s="96"/>
      <x:c r="D8" s="96"/>
      <x:c r="E8" s="96"/>
      <x:c r="F8" s="97"/>
      <x:c r="G8" s="33"/>
      <x:c r="H8" s="58" t="str">
        <x:v>t</x:v>
      </x:c>
      <x:c r="I8" s="59" t="str">
        <x:v>add-in</x:v>
      </x:c>
      <x:c r="J8" s="59" t="str">
        <x:v>rep</x:v>
      </x:c>
      <x:c r="K8" s="59" t="str">
        <x:v>core</x:v>
      </x:c>
      <x:c r="L8" s="59" t="str">
        <x:v>rise</x:v>
      </x:c>
      <x:c r="M8" s="59" t="str">
        <x:v>loss</x:v>
      </x:c>
      <x:c r="N8" s="59" t="str">
        <x:v>color</x:v>
      </x:c>
      <x:c r="O8" s="59" t="str">
        <x:v>crack</x:v>
      </x:c>
      <x:c r="P8" s="59" t="str">
        <x:v>mass</x:v>
      </x:c>
      <x:c r="Q8" s="60" t="str">
        <x:v>memo</x:v>
      </x:c>
      <x:c r="R8" s="33"/>
      <x:c r="S8" s="29" t="str">
        <x:v>conversion</x:v>
      </x:c>
      <x:c r="T8" s="30" t="str">
        <x:v>formula</x:v>
      </x:c>
      <x:c r="U8" s="30" t="str">
        <x:v>example</x:v>
      </x:c>
      <x:c r="V8" s="31" t="str">
        <x:v>note</x:v>
      </x:c>
      <x:c r="W8" s="33"/>
      <x:c r="X8" s="33"/>
      <x:c r="Y8" s="33"/>
      <x:c r="Z8" s="33"/>
    </x:row>
    <x:row r="9">
      <x:c r="A9" s="33"/>
      <x:c r="B9" s="98"/>
      <x:c r="C9" s="96"/>
      <x:c r="D9" s="96"/>
      <x:c r="E9" s="96"/>
      <x:c r="F9" s="97"/>
      <x:c r="G9" s="33"/>
      <x:c r="H9" s="33" t="str">
        <x:v>min</x:v>
      </x:c>
      <x:c r="I9" s="33" t="str"/>
      <x:c r="J9" s="33" t="str">
        <x:v>#</x:v>
      </x:c>
      <x:c r="K9" s="33" t="str">
        <x:v>°F</x:v>
      </x:c>
      <x:c r="L9" s="33" t="str">
        <x:v>cm</x:v>
      </x:c>
      <x:c r="M9" s="33" t="str">
        <x:v>%</x:v>
      </x:c>
      <x:c r="N9" s="33" t="str"/>
      <x:c r="O9" s="33" t="str">
        <x:v>Y/N</x:v>
      </x:c>
      <x:c r="P9" s="33" t="str">
        <x:v>g</x:v>
      </x:c>
      <x:c r="Q9" s="33" t="str"/>
      <x:c r="R9" s="33"/>
      <x:c r="S9" s="32" t="str">
        <x:v>core °F→℃</x:v>
      </x:c>
      <x:c r="T9" s="33" t="str">
        <x:v>(F-32)*5/9</x:v>
      </x:c>
      <x:c r="U9" s="33"/>
      <x:c r="V9" s="34" t="str">
        <x:v>수기환산</x:v>
      </x:c>
      <x:c r="W9" s="33"/>
      <x:c r="X9" s="33"/>
      <x:c r="Y9" s="33"/>
      <x:c r="Z9" s="33"/>
    </x:row>
    <x:row r="10">
      <x:c r="A10" s="33"/>
      <x:c r="B10" s="98"/>
      <x:c r="C10" s="96"/>
      <x:c r="D10" s="96"/>
      <x:c r="E10" s="96"/>
      <x:c r="F10" s="97"/>
      <x:c r="G10" s="33"/>
      <x:c r="H10" s="29" t="n">
        <x:v>0</x:v>
      </x:c>
      <x:c r="I10" s="30" t="str">
        <x:v>baseline</x:v>
      </x:c>
      <x:c r="J10" s="30" t="n">
        <x:v>1</x:v>
      </x:c>
      <x:c r="K10" s="30" t="n">
        <x:v>87.8</x:v>
      </x:c>
      <x:c r="L10" s="30" t="n">
        <x:v>0.17</x:v>
      </x:c>
      <x:c r="M10" s="30" t="n">
        <x:v>1</x:v>
      </x:c>
      <x:c r="N10" s="30" t="str">
        <x:v>brown</x:v>
      </x:c>
      <x:c r="O10" s="30" t="str">
        <x:v>N</x:v>
      </x:c>
      <x:c r="P10" s="30" t="n">
        <x:v>36.7</x:v>
      </x:c>
      <x:c r="Q10" s="31" t="str">
        <x:v>check</x:v>
      </x:c>
      <x:c r="R10" s="33"/>
      <x:c r="S10" s="32" t="str">
        <x:v>rise cm→mm</x:v>
      </x:c>
      <x:c r="T10" s="33" t="str">
        <x:v>×10</x:v>
      </x:c>
      <x:c r="U10" s="33"/>
      <x:c r="V10" s="34" t="str"/>
      <x:c r="W10" s="33"/>
      <x:c r="X10" s="33"/>
      <x:c r="Y10" s="33"/>
      <x:c r="Z10" s="33"/>
    </x:row>
    <x:row r="11">
      <x:c r="A11" s="33"/>
      <x:c r="B11" s="98"/>
      <x:c r="C11" s="96"/>
      <x:c r="D11" s="96"/>
      <x:c r="E11" s="96"/>
      <x:c r="F11" s="97"/>
      <x:c r="G11" s="33"/>
      <x:c r="H11" s="32" t="n">
        <x:v>0</x:v>
      </x:c>
      <x:c r="I11" s="33" t="str">
        <x:v>RUM syrup</x:v>
      </x:c>
      <x:c r="J11" s="33" t="n">
        <x:v>1</x:v>
      </x:c>
      <x:c r="K11" s="33" t="n">
        <x:v>90.3</x:v>
      </x:c>
      <x:c r="L11" s="33" t="n">
        <x:v>0.16</x:v>
      </x:c>
      <x:c r="M11" s="33" t="n">
        <x:v>1.6</x:v>
      </x:c>
      <x:c r="N11" s="33" t="str">
        <x:v>brown</x:v>
      </x:c>
      <x:c r="O11" s="33" t="str">
        <x:v>N</x:v>
      </x:c>
      <x:c r="P11" s="33" t="n">
        <x:v>36.5</x:v>
      </x:c>
      <x:c r="Q11" s="34" t="str">
        <x:v>aroma?</x:v>
      </x:c>
      <x:c r="R11" s="33"/>
      <x:c r="S11" s="32" t="str">
        <x:v>weight loss</x:v>
      </x:c>
      <x:c r="T11" s="33" t="str">
        <x:v>%</x:v>
      </x:c>
      <x:c r="U11" s="33"/>
      <x:c r="V11" s="34" t="str"/>
      <x:c r="W11" s="33"/>
      <x:c r="X11" s="33"/>
      <x:c r="Y11" s="33"/>
      <x:c r="Z11" s="33"/>
    </x:row>
    <x:row r="12">
      <x:c r="A12" s="33"/>
      <x:c r="B12" s="99"/>
      <x:c r="C12" s="100"/>
      <x:c r="D12" s="100"/>
      <x:c r="E12" s="100"/>
      <x:c r="F12" s="101"/>
      <x:c r="G12" s="33"/>
      <x:c r="H12" s="32" t="n">
        <x:v>3</x:v>
      </x:c>
      <x:c r="I12" s="33" t="str">
        <x:v>baseline</x:v>
      </x:c>
      <x:c r="J12" s="33" t="n">
        <x:v>1</x:v>
      </x:c>
      <x:c r="K12" s="33" t="n">
        <x:v>107.6</x:v>
      </x:c>
      <x:c r="L12" s="33" t="n">
        <x:v>0.27</x:v>
      </x:c>
      <x:c r="M12" s="33" t="n">
        <x:v>2.6</x:v>
      </x:c>
      <x:c r="N12" s="33" t="str">
        <x:v>dark</x:v>
      </x:c>
      <x:c r="O12" s="33" t="str">
        <x:v>N</x:v>
      </x:c>
      <x:c r="P12" s="33" t="n">
        <x:v>36.2</x:v>
      </x:c>
      <x:c r="Q12" s="34" t="str">
        <x:v>check</x:v>
      </x:c>
      <x:c r="R12" s="33"/>
      <x:c r="S12" s="35" t="str">
        <x:v>temp set</x:v>
      </x:c>
      <x:c r="T12" s="36" t="str">
        <x:v>℃</x:v>
      </x:c>
      <x:c r="U12" s="36" t="n">
        <x:v>210</x:v>
      </x:c>
      <x:c r="V12" s="37" t="str">
        <x:v>oven</x:v>
      </x:c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2" t="n">
        <x:v>3</x:v>
      </x:c>
      <x:c r="I13" s="33" t="str">
        <x:v>RUM syrup</x:v>
      </x:c>
      <x:c r="J13" s="33" t="n">
        <x:v>1</x:v>
      </x:c>
      <x:c r="K13" s="33" t="n">
        <x:v>108.1</x:v>
      </x:c>
      <x:c r="L13" s="33" t="n">
        <x:v>0.31</x:v>
      </x:c>
      <x:c r="M13" s="33" t="n">
        <x:v>2.6</x:v>
      </x:c>
      <x:c r="N13" s="33" t="str">
        <x:v>dark</x:v>
      </x:c>
      <x:c r="O13" s="33" t="str">
        <x:v>N</x:v>
      </x:c>
      <x:c r="P13" s="33" t="n">
        <x:v>36.2</x:v>
      </x:c>
      <x:c r="Q13" s="34" t="str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2" t="n">
        <x:v>6</x:v>
      </x:c>
      <x:c r="I14" s="33" t="str">
        <x:v>baseline</x:v>
      </x:c>
      <x:c r="J14" s="33" t="n">
        <x:v>1</x:v>
      </x:c>
      <x:c r="K14" s="33" t="n">
        <x:v>127.2</x:v>
      </x:c>
      <x:c r="L14" s="33" t="n">
        <x:v>0.41</x:v>
      </x:c>
      <x:c r="M14" s="33" t="n">
        <x:v>4.5</x:v>
      </x:c>
      <x:c r="N14" s="33" t="str">
        <x:v>dark</x:v>
      </x:c>
      <x:c r="O14" s="33" t="str">
        <x:v>N</x:v>
      </x:c>
      <x:c r="P14" s="33" t="n">
        <x:v>35.6</x:v>
      </x:c>
      <x:c r="Q14" s="34" t="str">
        <x:v>aroma?</x:v>
      </x:c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2" t="n">
        <x:v>6</x:v>
      </x:c>
      <x:c r="I15" s="33" t="str">
        <x:v>RUM syrup</x:v>
      </x:c>
      <x:c r="J15" s="33" t="n">
        <x:v>1</x:v>
      </x:c>
      <x:c r="K15" s="33" t="n">
        <x:v>127</x:v>
      </x:c>
      <x:c r="L15" s="33" t="n">
        <x:v>0.43</x:v>
      </x:c>
      <x:c r="M15" s="33" t="n">
        <x:v>4.4</x:v>
      </x:c>
      <x:c r="N15" s="33" t="str">
        <x:v>dark</x:v>
      </x:c>
      <x:c r="O15" s="33" t="str">
        <x:v>Y</x:v>
      </x:c>
      <x:c r="P15" s="33" t="n">
        <x:v>35.7</x:v>
      </x:c>
      <x:c r="Q15" s="34" t="str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2" t="n">
        <x:v>9</x:v>
      </x:c>
      <x:c r="I16" s="33" t="str">
        <x:v>baseline</x:v>
      </x:c>
      <x:c r="J16" s="33" t="n">
        <x:v>1</x:v>
      </x:c>
      <x:c r="K16" s="33" t="n">
        <x:v>144.7</x:v>
      </x:c>
      <x:c r="L16" s="33" t="n">
        <x:v>0.57</x:v>
      </x:c>
      <x:c r="M16" s="33" t="n">
        <x:v>6</x:v>
      </x:c>
      <x:c r="N16" s="33" t="str">
        <x:v>brown</x:v>
      </x:c>
      <x:c r="O16" s="33" t="str">
        <x:v>N</x:v>
      </x:c>
      <x:c r="P16" s="33" t="n">
        <x:v>35.2</x:v>
      </x:c>
      <x:c r="Q16" s="34" t="str">
        <x:v>aroma?</x:v>
      </x:c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2" t="n">
        <x:v>9</x:v>
      </x:c>
      <x:c r="I17" s="33" t="str">
        <x:v>RUM syrup</x:v>
      </x:c>
      <x:c r="J17" s="33" t="n">
        <x:v>1</x:v>
      </x:c>
      <x:c r="K17" s="33" t="n">
        <x:v>145.9</x:v>
      </x:c>
      <x:c r="L17" s="33" t="n">
        <x:v>0.58</x:v>
      </x:c>
      <x:c r="M17" s="33" t="n">
        <x:v>5.9</x:v>
      </x:c>
      <x:c r="N17" s="33" t="str">
        <x:v>dark</x:v>
      </x:c>
      <x:c r="O17" s="33" t="str">
        <x:v>Y</x:v>
      </x:c>
      <x:c r="P17" s="33" t="n">
        <x:v>35.2</x:v>
      </x:c>
      <x:c r="Q17" s="34" t="str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2" t="n">
        <x:v>12</x:v>
      </x:c>
      <x:c r="I18" s="33" t="str">
        <x:v>baseline</x:v>
      </x:c>
      <x:c r="J18" s="33" t="n">
        <x:v>1</x:v>
      </x:c>
      <x:c r="K18" s="33" t="n">
        <x:v>165.6</x:v>
      </x:c>
      <x:c r="L18" s="33" t="n">
        <x:v>0.71</x:v>
      </x:c>
      <x:c r="M18" s="33" t="n">
        <x:v>7.8</x:v>
      </x:c>
      <x:c r="N18" s="33" t="str">
        <x:v>tan</x:v>
      </x:c>
      <x:c r="O18" s="33" t="str">
        <x:v>N</x:v>
      </x:c>
      <x:c r="P18" s="33" t="n">
        <x:v>34.7</x:v>
      </x:c>
      <x:c r="Q18" s="34" t="str">
        <x:v>aroma?</x:v>
      </x:c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2" t="n">
        <x:v>12</x:v>
      </x:c>
      <x:c r="I19" s="33" t="str">
        <x:v>RUM syrup</x:v>
      </x:c>
      <x:c r="J19" s="33" t="n">
        <x:v>1</x:v>
      </x:c>
      <x:c r="K19" s="33" t="n">
        <x:v>165.2</x:v>
      </x:c>
      <x:c r="L19" s="33" t="n">
        <x:v>0.73</x:v>
      </x:c>
      <x:c r="M19" s="33" t="n">
        <x:v>7.7</x:v>
      </x:c>
      <x:c r="N19" s="33" t="str">
        <x:v>dark</x:v>
      </x:c>
      <x:c r="O19" s="33" t="str">
        <x:v>N</x:v>
      </x:c>
      <x:c r="P19" s="33" t="n">
        <x:v>34.7</x:v>
      </x:c>
      <x:c r="Q19" s="34" t="str">
        <x:v>check</x:v>
      </x:c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2" t="n">
        <x:v>12</x:v>
      </x:c>
      <x:c r="I20" s="33" t="str">
        <x:v>white sugar coat</x:v>
      </x:c>
      <x:c r="J20" s="33" t="n">
        <x:v>1</x:v>
      </x:c>
      <x:c r="K20" s="33" t="n">
        <x:v>165.9</x:v>
      </x:c>
      <x:c r="L20" s="33" t="n">
        <x:v>0.76</x:v>
      </x:c>
      <x:c r="M20" s="33" t="n">
        <x:v>7.6</x:v>
      </x:c>
      <x:c r="N20" s="33" t="str">
        <x:v>brown</x:v>
      </x:c>
      <x:c r="O20" s="33" t="str">
        <x:v>N</x:v>
      </x:c>
      <x:c r="P20" s="33" t="n">
        <x:v>34.7</x:v>
      </x:c>
      <x:c r="Q20" s="34" t="str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2" t="n">
        <x:v>15</x:v>
      </x:c>
      <x:c r="I21" s="33" t="str">
        <x:v>baseline</x:v>
      </x:c>
      <x:c r="J21" s="33" t="n">
        <x:v>1</x:v>
      </x:c>
      <x:c r="K21" s="33" t="n">
        <x:v>183.4</x:v>
      </x:c>
      <x:c r="L21" s="33" t="n">
        <x:v>0.83</x:v>
      </x:c>
      <x:c r="M21" s="33" t="n">
        <x:v>9</x:v>
      </x:c>
      <x:c r="N21" s="33" t="str">
        <x:v>tan</x:v>
      </x:c>
      <x:c r="O21" s="33" t="str">
        <x:v>N</x:v>
      </x:c>
      <x:c r="P21" s="33" t="n">
        <x:v>34.3</x:v>
      </x:c>
      <x:c r="Q21" s="34" t="str">
        <x:v>check</x:v>
      </x:c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2" t="n">
        <x:v>15</x:v>
      </x:c>
      <x:c r="I22" s="33" t="str">
        <x:v>RUM syrup</x:v>
      </x:c>
      <x:c r="J22" s="33" t="n">
        <x:v>1</x:v>
      </x:c>
      <x:c r="K22" s="33" t="n">
        <x:v>184.5</x:v>
      </x:c>
      <x:c r="L22" s="33" t="n">
        <x:v>0.84</x:v>
      </x:c>
      <x:c r="M22" s="33" t="n">
        <x:v>8.7</x:v>
      </x:c>
      <x:c r="N22" s="33" t="str">
        <x:v>dark</x:v>
      </x:c>
      <x:c r="O22" s="33" t="str">
        <x:v>Y</x:v>
      </x:c>
      <x:c r="P22" s="33" t="n">
        <x:v>34.4</x:v>
      </x:c>
      <x:c r="Q22" s="34" t="str">
        <x:v>check</x:v>
      </x:c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2" t="n">
        <x:v>15</x:v>
      </x:c>
      <x:c r="I23" s="33" t="str">
        <x:v>white sugar coat</x:v>
      </x:c>
      <x:c r="J23" s="33" t="n">
        <x:v>1</x:v>
      </x:c>
      <x:c r="K23" s="33" t="n">
        <x:v>187.5</x:v>
      </x:c>
      <x:c r="L23" s="33" t="n">
        <x:v>0.92</x:v>
      </x:c>
      <x:c r="M23" s="33" t="n">
        <x:v>9</x:v>
      </x:c>
      <x:c r="N23" s="33" t="str">
        <x:v>brown</x:v>
      </x:c>
      <x:c r="O23" s="33" t="str">
        <x:v>N</x:v>
      </x:c>
      <x:c r="P23" s="33" t="n">
        <x:v>34.3</x:v>
      </x:c>
      <x:c r="Q23" s="34" t="str">
        <x:v>check</x:v>
      </x:c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2" t="n">
        <x:v>18</x:v>
      </x:c>
      <x:c r="I24" s="33" t="str">
        <x:v>baseline</x:v>
      </x:c>
      <x:c r="J24" s="33" t="n">
        <x:v>1</x:v>
      </x:c>
      <x:c r="K24" s="33" t="n">
        <x:v>204.1</x:v>
      </x:c>
      <x:c r="L24" s="33" t="n">
        <x:v>0.96</x:v>
      </x:c>
      <x:c r="M24" s="33" t="n">
        <x:v>10.5</x:v>
      </x:c>
      <x:c r="N24" s="33" t="str">
        <x:v>tan</x:v>
      </x:c>
      <x:c r="O24" s="33" t="str">
        <x:v>N</x:v>
      </x:c>
      <x:c r="P24" s="33" t="n">
        <x:v>33.9</x:v>
      </x:c>
      <x:c r="Q24" s="34" t="str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2" t="n">
        <x:v>18</x:v>
      </x:c>
      <x:c r="I25" s="33" t="str">
        <x:v>RUM syrup</x:v>
      </x:c>
      <x:c r="J25" s="33" t="n">
        <x:v>1</x:v>
      </x:c>
      <x:c r="K25" s="33" t="n">
        <x:v>204.1</x:v>
      </x:c>
      <x:c r="L25" s="33" t="n">
        <x:v>1.01</x:v>
      </x:c>
      <x:c r="M25" s="33" t="n">
        <x:v>10.4</x:v>
      </x:c>
      <x:c r="N25" s="33" t="str">
        <x:v>tan</x:v>
      </x:c>
      <x:c r="O25" s="33" t="str">
        <x:v>N</x:v>
      </x:c>
      <x:c r="P25" s="33" t="n">
        <x:v>33.9</x:v>
      </x:c>
      <x:c r="Q25" s="34" t="str">
        <x:v>aroma?</x:v>
      </x:c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2" t="n">
        <x:v>18</x:v>
      </x:c>
      <x:c r="I26" s="33" t="str">
        <x:v>white sugar coat</x:v>
      </x:c>
      <x:c r="J26" s="33" t="n">
        <x:v>1</x:v>
      </x:c>
      <x:c r="K26" s="33" t="n">
        <x:v>205</x:v>
      </x:c>
      <x:c r="L26" s="33" t="n">
        <x:v>1.03</x:v>
      </x:c>
      <x:c r="M26" s="33" t="n">
        <x:v>10.3</x:v>
      </x:c>
      <x:c r="N26" s="33" t="str">
        <x:v>tan</x:v>
      </x:c>
      <x:c r="O26" s="33" t="str">
        <x:v>N</x:v>
      </x:c>
      <x:c r="P26" s="33" t="n">
        <x:v>33.9</x:v>
      </x:c>
      <x:c r="Q26" s="34" t="str">
        <x:v>check</x:v>
      </x:c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2" t="n">
        <x:v>21</x:v>
      </x:c>
      <x:c r="I27" s="33" t="str">
        <x:v>baseline</x:v>
      </x:c>
      <x:c r="J27" s="33" t="n">
        <x:v>1</x:v>
      </x:c>
      <x:c r="K27" s="33" t="n">
        <x:v>210.9</x:v>
      </x:c>
      <x:c r="L27" s="33" t="n">
        <x:v>1.13</x:v>
      </x:c>
      <x:c r="M27" s="33" t="n">
        <x:v>12.3</x:v>
      </x:c>
      <x:c r="N27" s="33" t="str">
        <x:v>brown</x:v>
      </x:c>
      <x:c r="O27" s="33" t="str">
        <x:v>N</x:v>
      </x:c>
      <x:c r="P27" s="33" t="n">
        <x:v>33.3</x:v>
      </x:c>
      <x:c r="Q27" s="34" t="str">
        <x:v>aroma?</x:v>
      </x:c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2" t="n">
        <x:v>21</x:v>
      </x:c>
      <x:c r="I28" s="33" t="str">
        <x:v>RUM syrup</x:v>
      </x:c>
      <x:c r="J28" s="33" t="n">
        <x:v>1</x:v>
      </x:c>
      <x:c r="K28" s="33" t="n">
        <x:v>210.9</x:v>
      </x:c>
      <x:c r="L28" s="33" t="n">
        <x:v>1.17</x:v>
      </x:c>
      <x:c r="M28" s="33" t="n">
        <x:v>12.3</x:v>
      </x:c>
      <x:c r="N28" s="33" t="str">
        <x:v>dark</x:v>
      </x:c>
      <x:c r="O28" s="33" t="str">
        <x:v>N</x:v>
      </x:c>
      <x:c r="P28" s="33" t="n">
        <x:v>33.3</x:v>
      </x:c>
      <x:c r="Q28" s="34" t="str">
        <x:v>check</x:v>
      </x:c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5" t="n">
        <x:v>21</x:v>
      </x:c>
      <x:c r="I29" s="36" t="str">
        <x:v>white sugar coat</x:v>
      </x:c>
      <x:c r="J29" s="36" t="n">
        <x:v>1</x:v>
      </x:c>
      <x:c r="K29" s="36" t="n">
        <x:v>210.9</x:v>
      </x:c>
      <x:c r="L29" s="36" t="n">
        <x:v>1.16</x:v>
      </x:c>
      <x:c r="M29" s="36" t="n">
        <x:v>12</x:v>
      </x:c>
      <x:c r="N29" s="36" t="str">
        <x:v>tan</x:v>
      </x:c>
      <x:c r="O29" s="36" t="str">
        <x:v>N</x:v>
      </x:c>
      <x:c r="P29" s="36" t="n">
        <x:v>33.4</x:v>
      </x:c>
      <x:c r="Q29" s="37" t="str">
        <x:v>aroma?</x:v>
      </x:c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E4:Q5"/>
    <x:mergeCell ref="B7:F12"/>
  </x:mergeCells>
  <x:pageMargins left="0.7" right="0.7" top="0.75" bottom="0.75" header="0.3" footer="0.3"/>
  <x:drawing xmlns:r="http://schemas.openxmlformats.org/officeDocument/2006/relationships" r:id="R5b8c426679454565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2">
      <x:c r="F2" s="239" t="str">
        <x:v>커피 럼/토핑/코팅 판매율 + 원가상승</x:v>
      </x:c>
      <x:c r="G2" s="240"/>
      <x:c r="H2" s="240"/>
      <x:c r="I2" s="240"/>
      <x:c r="J2" s="240"/>
      <x:c r="K2" s="240"/>
      <x:c r="L2" s="240"/>
      <x:c r="M2" s="240"/>
      <x:c r="N2" s="240"/>
      <x:c r="O2" s="240"/>
      <x:c r="P2" s="241"/>
    </x:row>
    <x:row r="3">
      <x:c r="F3" s="242"/>
      <x:c r="G3" s="243"/>
      <x:c r="H3" s="243"/>
      <x:c r="I3" s="243"/>
      <x:c r="J3" s="243"/>
      <x:c r="K3" s="243"/>
      <x:c r="L3" s="243"/>
      <x:c r="M3" s="243"/>
      <x:c r="N3" s="243"/>
      <x:c r="O3" s="243"/>
      <x:c r="P3" s="244"/>
    </x:row>
    <x:row r="6">
      <x:c r="F6" s="58" t="str">
        <x:v>Option</x:v>
      </x:c>
      <x:c r="G6" s="59" t="str">
        <x:v>add.cost</x:v>
      </x:c>
      <x:c r="H6" s="59" t="str">
        <x:v>base.cost</x:v>
      </x:c>
      <x:c r="I6" s="59" t="str">
        <x:v>↑cost%</x:v>
      </x:c>
      <x:c r="J6" s="59" t="str">
        <x:v>sales%</x:v>
      </x:c>
      <x:c r="K6" s="59" t="str">
        <x:v>repeat.idx</x:v>
      </x:c>
      <x:c r="L6" s="59" t="str">
        <x:v>ticket</x:v>
      </x:c>
      <x:c r="M6" s="59" t="str">
        <x:v>memo</x:v>
      </x:c>
      <x:c r="N6" s="59" t="str">
        <x:v>remark</x:v>
      </x:c>
      <x:c r="O6" s="60" t="str">
        <x:v>flag</x:v>
      </x:c>
    </x:row>
    <x:row r="7">
      <x:c r="F7" s="282" t="str"/>
      <x:c r="G7" s="283" t="str">
        <x:v>₩/ea</x:v>
      </x:c>
      <x:c r="H7" s="283" t="str">
        <x:v>₩/ea</x:v>
      </x:c>
      <x:c r="I7" s="283" t="str">
        <x:v>%</x:v>
      </x:c>
      <x:c r="J7" s="283" t="str">
        <x:v>%</x:v>
      </x:c>
      <x:c r="K7" s="283" t="str">
        <x:v>idx</x:v>
      </x:c>
      <x:c r="L7" s="283" t="str">
        <x:v>₩</x:v>
      </x:c>
      <x:c r="M7" s="283" t="str"/>
      <x:c r="N7" s="283" t="str"/>
      <x:c r="O7" s="284" t="str"/>
    </x:row>
    <x:row r="8">
      <x:c r="F8" s="12" t="str">
        <x:v>기본</x:v>
      </x:c>
      <x:c r="G8" s="13" t="n">
        <x:v>-0.1</x:v>
      </x:c>
      <x:c r="H8" s="13" t="n">
        <x:v>424.8</x:v>
      </x:c>
      <x:c r="I8" s="13" t="n">
        <x:v>0</x:v>
      </x:c>
      <x:c r="J8" s="13" t="n">
        <x:v>70.6</x:v>
      </x:c>
      <x:c r="K8" s="13" t="n">
        <x:v>0.71</x:v>
      </x:c>
      <x:c r="L8" s="13" t="n">
        <x:v>1240</x:v>
      </x:c>
      <x:c r="M8" s="13" t="str">
        <x:v>재구매?</x:v>
      </x:c>
      <x:c r="N8" s="13" t="str">
        <x:v>RUM</x:v>
      </x:c>
      <x:c r="O8" s="14" t="str"/>
    </x:row>
    <x:row r="9">
      <x:c r="F9" s="15" t="str">
        <x:v>럼 추가</x:v>
      </x:c>
      <x:c r="G9" s="16" t="n">
        <x:v>27.1</x:v>
      </x:c>
      <x:c r="H9" s="16" t="n">
        <x:v>424.8</x:v>
      </x:c>
      <x:c r="I9" s="16" t="n">
        <x:v>6.4</x:v>
      </x:c>
      <x:c r="J9" s="16" t="n">
        <x:v>72.1</x:v>
      </x:c>
      <x:c r="K9" s="16" t="n">
        <x:v>0.76</x:v>
      </x:c>
      <x:c r="L9" s="16" t="n">
        <x:v>1210</x:v>
      </x:c>
      <x:c r="M9" s="16" t="str">
        <x:v>원가부담</x:v>
      </x:c>
      <x:c r="N9" s="16" t="str">
        <x:v>RUM</x:v>
      </x:c>
      <x:c r="O9" s="17" t="str"/>
    </x:row>
    <x:row r="10">
      <x:c r="F10" s="15" t="str">
        <x:v>설탕 코팅</x:v>
      </x:c>
      <x:c r="G10" s="16" t="n">
        <x:v>16.2</x:v>
      </x:c>
      <x:c r="H10" s="16" t="n">
        <x:v>424.8</x:v>
      </x:c>
      <x:c r="I10" s="16" t="n">
        <x:v>3.8</x:v>
      </x:c>
      <x:c r="J10" s="16" t="n">
        <x:v>70.3</x:v>
      </x:c>
      <x:c r="K10" s="16" t="n">
        <x:v>0.67</x:v>
      </x:c>
      <x:c r="L10" s="16" t="n">
        <x:v>1310</x:v>
      </x:c>
      <x:c r="M10" s="16" t="str">
        <x:v>선물용</x:v>
      </x:c>
      <x:c r="N10" s="16" t="str">
        <x:v>sugar</x:v>
      </x:c>
      <x:c r="O10" s="17" t="str"/>
    </x:row>
    <x:row r="11">
      <x:c r="F11" s="15" t="str">
        <x:v>토핑</x:v>
      </x:c>
      <x:c r="G11" s="16" t="n">
        <x:v>36.6</x:v>
      </x:c>
      <x:c r="H11" s="16" t="n">
        <x:v>424.8</x:v>
      </x:c>
      <x:c r="I11" s="16" t="n">
        <x:v>8.6</x:v>
      </x:c>
      <x:c r="J11" s="16" t="n">
        <x:v>79.7</x:v>
      </x:c>
      <x:c r="K11" s="16" t="n">
        <x:v>0.8</x:v>
      </x:c>
      <x:c r="L11" s="16" t="n">
        <x:v>1150</x:v>
      </x:c>
      <x:c r="M11" s="16" t="str">
        <x:v>선물용</x:v>
      </x:c>
      <x:c r="N11" s="16" t="str">
        <x:v>est.</x:v>
      </x:c>
      <x:c r="O11" s="17" t="str">
        <x:v>★</x:v>
      </x:c>
    </x:row>
    <x:row r="12">
      <x:c r="F12" s="15" t="str">
        <x:v>럼+토핑</x:v>
      </x:c>
      <x:c r="G12" s="16" t="n">
        <x:v>55.9</x:v>
      </x:c>
      <x:c r="H12" s="16" t="n">
        <x:v>424.8</x:v>
      </x:c>
      <x:c r="I12" s="16" t="n">
        <x:v>13.1</x:v>
      </x:c>
      <x:c r="J12" s="16" t="n">
        <x:v>82.8</x:v>
      </x:c>
      <x:c r="K12" s="16" t="n">
        <x:v>0.89</x:v>
      </x:c>
      <x:c r="L12" s="16" t="n">
        <x:v>1380</x:v>
      </x:c>
      <x:c r="M12" s="16" t="str"/>
      <x:c r="N12" s="16" t="str">
        <x:v>sugar</x:v>
      </x:c>
      <x:c r="O12" s="17" t="str">
        <x:v>★</x:v>
      </x:c>
    </x:row>
    <x:row r="13">
      <x:c r="F13" s="18" t="str">
        <x:v>코팅+토핑</x:v>
      </x:c>
      <x:c r="G13" s="19" t="n">
        <x:v>51.8</x:v>
      </x:c>
      <x:c r="H13" s="19" t="n">
        <x:v>424.8</x:v>
      </x:c>
      <x:c r="I13" s="19" t="n">
        <x:v>12.2</x:v>
      </x:c>
      <x:c r="J13" s="19" t="n">
        <x:v>75.8</x:v>
      </x:c>
      <x:c r="K13" s="19" t="n">
        <x:v>0.73</x:v>
      </x:c>
      <x:c r="L13" s="19" t="n">
        <x:v>1300</x:v>
      </x:c>
      <x:c r="M13" s="19" t="str"/>
      <x:c r="N13" s="19" t="str">
        <x:v>RUM</x:v>
      </x:c>
      <x:c r="O13" s="20" t="str"/>
    </x:row>
  </x:sheetData>
  <x:mergeCells>
    <x:mergeCell ref="F2:P3"/>
  </x:mergeCells>
  <x:pageMargins left="0.7" right="0.7" top="0.75" bottom="0.75" header="0.3" footer="0.3"/>
  <x:drawing xmlns:r="http://schemas.openxmlformats.org/officeDocument/2006/relationships" r:id="Re356101c79a64e78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314" t="str">
        <x:v>작업/메모</x:v>
      </x:c>
      <x:c r="C3" s="315" t="str">
        <x:v>커피</x:v>
      </x:c>
      <x:c r="D3" s="315" t="str"/>
      <x:c r="E3" s="315" t="str"/>
      <x:c r="F3" s="315" t="str"/>
      <x:c r="G3" s="315" t="str"/>
      <x:c r="H3" s="316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KIM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314" t="str">
        <x:v>작업/메모</x:v>
      </x:c>
      <x:c r="C3" s="315" t="str">
        <x:v>커피</x:v>
      </x:c>
      <x:c r="D3" s="315" t="str"/>
      <x:c r="E3" s="315" t="str"/>
      <x:c r="F3" s="315" t="str"/>
      <x:c r="G3" s="315" t="str"/>
      <x:c r="H3" s="316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미상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3">
      <x:c r="D3" s="339" t="str">
        <x:v>커피 포장지 후보 / package concept notes</x:v>
      </x:c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  <x:c r="P3" s="339"/>
      <x:c r="Q3" s="339"/>
    </x:row>
    <x:row r="4">
      <x:c r="D4" s="339"/>
      <x:c r="E4" s="339"/>
      <x:c r="F4" s="339"/>
      <x:c r="G4" s="339"/>
      <x:c r="H4" s="339"/>
      <x:c r="I4" s="339"/>
      <x:c r="J4" s="339"/>
      <x:c r="K4" s="339"/>
      <x:c r="L4" s="339"/>
      <x:c r="M4" s="339"/>
      <x:c r="N4" s="339"/>
      <x:c r="O4" s="339"/>
      <x:c r="P4" s="339"/>
      <x:c r="Q4" s="339"/>
    </x:row>
    <x:row r="5"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</x:row>
    <x:row r="6">
      <x:c r="D6" s="344" t="str">
        <x:v>디자인 후보</x:v>
      </x:c>
      <x:c r="E6" s="344"/>
      <x:c r="F6" s="344"/>
      <x:c r="G6" s="344"/>
      <x:c r="H6" s="344"/>
      <x:c r="I6" s="33"/>
      <x:c r="J6" s="33"/>
      <x:c r="K6" s="33"/>
      <x:c r="L6" s="33"/>
      <x:c r="M6" s="33"/>
      <x:c r="N6" s="33"/>
      <x:c r="O6" s="33"/>
      <x:c r="P6" s="33"/>
      <x:c r="Q6" s="33"/>
    </x:row>
    <x:row r="7">
      <x:c r="D7" s="356" t="str">
        <x:v>후보</x:v>
      </x:c>
      <x:c r="E7" s="357" t="str">
        <x:v>캐릭터</x:v>
      </x:c>
      <x:c r="F7" s="357" t="str">
        <x:v>첫인상</x:v>
      </x:c>
      <x:c r="G7" s="357" t="str">
        <x:v>인쇄</x:v>
      </x:c>
      <x:c r="H7" s="358" t="str">
        <x:v>메모</x:v>
      </x:c>
      <x:c r="I7" s="33"/>
      <x:c r="J7" s="33"/>
      <x:c r="K7" s="33"/>
      <x:c r="L7" s="33"/>
      <x:c r="M7" s="33"/>
      <x:c r="N7" s="33"/>
      <x:c r="O7" s="33"/>
      <x:c r="P7" s="33"/>
      <x:c r="Q7" s="33"/>
    </x:row>
    <x:row r="8">
      <x:c r="D8" s="29" t="str">
        <x:v>A</x:v>
      </x:c>
      <x:c r="E8" s="30" t="str">
        <x:v>오리 컬러</x:v>
      </x:c>
      <x:c r="F8" s="361" t="str">
        <x:v>귀여움 / 눈에 띔</x:v>
      </x:c>
      <x:c r="G8" s="30" t="str">
        <x:v>CMYK test 필요</x:v>
      </x:c>
      <x:c r="H8" s="31" t="str">
        <x:v>전면 크게?</x:v>
      </x:c>
      <x:c r="I8" s="33"/>
      <x:c r="J8" s="33"/>
      <x:c r="K8" s="33"/>
      <x:c r="L8" s="33"/>
      <x:c r="M8" s="33"/>
      <x:c r="N8" s="33"/>
      <x:c r="O8" s="33"/>
      <x:c r="P8" s="33"/>
      <x:c r="Q8" s="33"/>
    </x:row>
    <x:row r="9">
      <x:c r="D9" s="32" t="str">
        <x:v>B</x:v>
      </x:c>
      <x:c r="E9" s="360" t="str">
        <x:v>오리 chef</x:v>
      </x:c>
      <x:c r="F9" s="362" t="str">
        <x:v>조금 더 차분</x:v>
      </x:c>
      <x:c r="G9" s="360" t="str">
        <x:v>선 얇음 주의</x:v>
      </x:c>
      <x:c r="H9" s="34" t="str">
        <x:v>스티커용 가능</x:v>
      </x:c>
      <x:c r="I9" s="33"/>
      <x:c r="J9" s="33"/>
      <x:c r="K9" s="33"/>
      <x:c r="L9" s="33"/>
      <x:c r="M9" s="33"/>
      <x:c r="N9" s="33"/>
      <x:c r="O9" s="33"/>
      <x:c r="P9" s="33"/>
      <x:c r="Q9" s="33"/>
    </x:row>
    <x:row r="10">
      <x:c r="D10" s="32" t="str">
        <x:v>C</x:v>
      </x:c>
      <x:c r="E10" s="360" t="str">
        <x:v>부엉이 minimal</x:v>
      </x:c>
      <x:c r="F10" s="362" t="str">
        <x:v>브랜드화 가능</x:v>
      </x:c>
      <x:c r="G10" s="360" t="str">
        <x:v>갈색지 확인</x:v>
      </x:c>
      <x:c r="H10" s="34" t="str">
        <x:v>시안 보류</x:v>
      </x:c>
      <x:c r="I10" s="33"/>
      <x:c r="J10" s="33"/>
      <x:c r="K10" s="33"/>
      <x:c r="L10" s="33"/>
      <x:c r="M10" s="33"/>
      <x:c r="N10" s="33"/>
      <x:c r="O10" s="33"/>
      <x:c r="P10" s="33"/>
      <x:c r="Q10" s="33"/>
    </x:row>
    <x:row r="11">
      <x:c r="D11" s="35" t="str">
        <x:v>결론</x:v>
      </x:c>
      <x:c r="E11" s="36" t="str">
        <x:v>미정</x:v>
      </x:c>
      <x:c r="F11" s="36" t="str">
        <x:v>샘플 뽑아보고</x:v>
      </x:c>
      <x:c r="G11" s="36" t="str">
        <x:v>재검토</x:v>
      </x:c>
      <x:c r="H11" s="37" t="str">
        <x:v>★ 너무 유아틱한가?</x:v>
      </x:c>
      <x:c r="I11" s="33"/>
      <x:c r="J11" s="33"/>
      <x:c r="K11" s="33"/>
      <x:c r="L11" s="33"/>
      <x:c r="M11" s="33"/>
      <x:c r="N11" s="33"/>
      <x:c r="O11" s="33"/>
      <x:c r="P11" s="33"/>
      <x:c r="Q11" s="33"/>
    </x:row>
    <x:row r="12"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</x:row>
    <x:row r="13"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</x:row>
    <x:row r="14">
      <x:c r="D14" s="344" t="str">
        <x:v>포장재/사이즈 대충 기록</x:v>
      </x:c>
      <x:c r="E14" s="344"/>
      <x:c r="F14" s="344"/>
      <x:c r="G14" s="344"/>
      <x:c r="H14" s="344"/>
      <x:c r="I14" s="33"/>
      <x:c r="J14" s="33"/>
      <x:c r="K14" s="33"/>
      <x:c r="L14" s="33"/>
      <x:c r="M14" s="33"/>
      <x:c r="N14" s="33"/>
      <x:c r="O14" s="33"/>
      <x:c r="P14" s="33"/>
      <x:c r="Q14" s="33"/>
    </x:row>
    <x:row r="15">
      <x:c r="D15" s="374" t="str">
        <x:v>항목</x:v>
      </x:c>
      <x:c r="E15" s="375" t="str">
        <x:v>값</x:v>
      </x:c>
      <x:c r="F15" s="375" t="str">
        <x:v>unit</x:v>
      </x:c>
      <x:c r="G15" s="375" t="str">
        <x:v>선택?</x:v>
      </x:c>
      <x:c r="H15" s="376" t="str">
        <x:v>메모</x:v>
      </x:c>
      <x:c r="I15" s="33"/>
      <x:c r="J15" s="33"/>
      <x:c r="K15" s="33"/>
      <x:c r="L15" s="33"/>
      <x:c r="M15" s="33"/>
      <x:c r="N15" s="33"/>
      <x:c r="O15" s="33"/>
      <x:c r="P15" s="33"/>
      <x:c r="Q15" s="33"/>
    </x:row>
    <x:row r="16">
      <x:c r="D16" s="29" t="str">
        <x:v>봉투 폭</x:v>
      </x:c>
      <x:c r="E16" s="30" t="n">
        <x:v>92</x:v>
      </x:c>
      <x:c r="F16" s="30" t="str">
        <x:v>mm</x:v>
      </x:c>
      <x:c r="G16" s="30" t="str">
        <x:v>Y</x:v>
      </x:c>
      <x:c r="H16" s="31" t="str">
        <x:v>12개입 아님, 낱개</x:v>
      </x:c>
      <x:c r="I16" s="33"/>
      <x:c r="J16" s="33"/>
      <x:c r="K16" s="33"/>
      <x:c r="L16" s="33"/>
      <x:c r="M16" s="33"/>
      <x:c r="N16" s="33"/>
      <x:c r="O16" s="33"/>
      <x:c r="P16" s="33"/>
      <x:c r="Q16" s="33"/>
    </x:row>
    <x:row r="17">
      <x:c r="D17" s="32" t="str">
        <x:v>봉투 높이</x:v>
      </x:c>
      <x:c r="E17" s="360" t="n">
        <x:v>118</x:v>
      </x:c>
      <x:c r="F17" s="360" t="str">
        <x:v>mm</x:v>
      </x:c>
      <x:c r="G17" s="360" t="str">
        <x:v>Y</x:v>
      </x:c>
      <x:c r="H17" s="34" t="str">
        <x:v>+접착부</x:v>
      </x:c>
      <x:c r="I17" s="33"/>
      <x:c r="J17" s="33"/>
      <x:c r="K17" s="33"/>
      <x:c r="L17" s="33"/>
      <x:c r="M17" s="33"/>
      <x:c r="N17" s="33"/>
      <x:c r="O17" s="33"/>
      <x:c r="P17" s="33"/>
      <x:c r="Q17" s="33"/>
    </x:row>
    <x:row r="18">
      <x:c r="D18" s="32" t="str">
        <x:v>필름</x:v>
      </x:c>
      <x:c r="E18" s="360" t="str">
        <x:v>OPP+CPP</x:v>
      </x:c>
      <x:c r="F18" s="360" t="str"/>
      <x:c r="G18" s="360" t="str">
        <x:v>?</x:v>
      </x:c>
      <x:c r="H18" s="34" t="str">
        <x:v>무광도 후보</x:v>
      </x:c>
      <x:c r="I18" s="33"/>
      <x:c r="J18" s="33"/>
      <x:c r="K18" s="33"/>
      <x:c r="L18" s="33"/>
      <x:c r="M18" s="33"/>
      <x:c r="N18" s="33"/>
      <x:c r="O18" s="33"/>
      <x:c r="P18" s="33"/>
      <x:c r="Q18" s="33"/>
    </x:row>
    <x:row r="19">
      <x:c r="D19" s="32" t="str">
        <x:v>스티커</x:v>
      </x:c>
      <x:c r="E19" s="360" t="n">
        <x:v>45</x:v>
      </x:c>
      <x:c r="F19" s="360" t="str">
        <x:v>mm</x:v>
      </x:c>
      <x:c r="G19" s="360" t="str">
        <x:v>Y</x:v>
      </x:c>
      <x:c r="H19" s="34" t="str">
        <x:v>원형/사각 비교</x:v>
      </x:c>
      <x:c r="I19" s="33"/>
      <x:c r="J19" s="33"/>
      <x:c r="K19" s="33"/>
      <x:c r="L19" s="33"/>
      <x:c r="M19" s="33"/>
      <x:c r="N19" s="33"/>
      <x:c r="O19" s="33"/>
      <x:c r="P19" s="33"/>
      <x:c r="Q19" s="33"/>
    </x:row>
    <x:row r="20">
      <x:c r="D20" s="35" t="str">
        <x:v>인쇄도수</x:v>
      </x:c>
      <x:c r="E20" s="36" t="str">
        <x:v>4C</x:v>
      </x:c>
      <x:c r="F20" s="36" t="str">
        <x:v>color</x:v>
      </x:c>
      <x:c r="G20" s="36" t="str">
        <x:v>?</x:v>
      </x:c>
      <x:c r="H20" s="37" t="str">
        <x:v>단색 버전도 봄</x:v>
      </x:c>
      <x:c r="I20" s="33"/>
      <x:c r="J20" s="33"/>
      <x:c r="K20" s="33"/>
      <x:c r="L20" s="33"/>
      <x:c r="M20" s="33"/>
      <x:c r="N20" s="33"/>
      <x:c r="O20" s="33"/>
      <x:c r="P20" s="33"/>
      <x:c r="Q20" s="33"/>
    </x:row>
    <x:row r="21"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</x:row>
    <x:row r="22"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</x:row>
    <x:row r="23">
      <x:c r="D23" s="388" t="str">
        <x:v>메모
• 포장지 때문에 넣어둔 시트라 실험 데이터랑 직접 관계 없음
• 오리/고양이/부엉이 중 뭘 쓸지는 아직 미정
• 실제 납품용 로고는 별도
• '귀여운 쪽'과 '고급스러운 쪽' 두 방향 비교
• 색상 셀은 사람 눈으로 보기 위한 표시일 뿐</x:v>
      </x:c>
      <x:c r="E23" s="389"/>
      <x:c r="F23" s="389"/>
      <x:c r="G23" s="389"/>
      <x:c r="H23" s="390"/>
      <x:c r="I23" s="33"/>
      <x:c r="J23" s="33"/>
      <x:c r="K23" s="33"/>
      <x:c r="L23" s="33"/>
      <x:c r="M23" s="33"/>
      <x:c r="N23" s="33"/>
      <x:c r="O23" s="33"/>
      <x:c r="P23" s="33"/>
      <x:c r="Q23" s="33"/>
    </x:row>
    <x:row r="24">
      <x:c r="D24" s="391"/>
      <x:c r="E24" s="392"/>
      <x:c r="F24" s="392"/>
      <x:c r="G24" s="392"/>
      <x:c r="H24" s="393"/>
      <x:c r="I24" s="33"/>
      <x:c r="J24" s="33"/>
      <x:c r="K24" s="33"/>
      <x:c r="L24" s="33"/>
      <x:c r="M24" s="33"/>
      <x:c r="N24" s="33"/>
      <x:c r="O24" s="33"/>
      <x:c r="P24" s="33"/>
      <x:c r="Q24" s="33"/>
    </x:row>
    <x:row r="25">
      <x:c r="D25" s="391"/>
      <x:c r="E25" s="392"/>
      <x:c r="F25" s="392"/>
      <x:c r="G25" s="392"/>
      <x:c r="H25" s="393"/>
      <x:c r="I25" s="33"/>
      <x:c r="J25" s="33"/>
      <x:c r="K25" s="33"/>
      <x:c r="L25" s="33"/>
      <x:c r="M25" s="33"/>
      <x:c r="N25" s="33"/>
      <x:c r="O25" s="33"/>
      <x:c r="P25" s="33"/>
      <x:c r="Q25" s="33"/>
    </x:row>
    <x:row r="26">
      <x:c r="D26" s="391"/>
      <x:c r="E26" s="392"/>
      <x:c r="F26" s="392"/>
      <x:c r="G26" s="392"/>
      <x:c r="H26" s="393"/>
      <x:c r="I26" s="33"/>
      <x:c r="J26" s="33"/>
      <x:c r="K26" s="33"/>
      <x:c r="L26" s="33"/>
      <x:c r="M26" s="33"/>
      <x:c r="N26" s="33"/>
      <x:c r="O26" s="33"/>
      <x:c r="P26" s="33"/>
      <x:c r="Q26" s="33"/>
    </x:row>
    <x:row r="27">
      <x:c r="D27" s="391"/>
      <x:c r="E27" s="392"/>
      <x:c r="F27" s="392"/>
      <x:c r="G27" s="392"/>
      <x:c r="H27" s="393"/>
      <x:c r="I27" s="33"/>
      <x:c r="J27" s="33"/>
      <x:c r="K27" s="33"/>
      <x:c r="L27" s="33"/>
      <x:c r="M27" s="33"/>
      <x:c r="N27" s="33"/>
      <x:c r="O27" s="33"/>
      <x:c r="P27" s="33"/>
      <x:c r="Q27" s="33"/>
    </x:row>
    <x:row r="28">
      <x:c r="D28" s="394"/>
      <x:c r="E28" s="395"/>
      <x:c r="F28" s="395"/>
      <x:c r="G28" s="395"/>
      <x:c r="H28" s="396"/>
      <x:c r="I28" s="33"/>
      <x:c r="J28" s="33"/>
      <x:c r="K28" s="33"/>
      <x:c r="L28" s="33"/>
      <x:c r="M28" s="33"/>
      <x:c r="N28" s="33"/>
      <x:c r="O28" s="33"/>
      <x:c r="P28" s="33"/>
      <x:c r="Q28" s="33"/>
    </x:row>
    <x:row r="29"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</x:row>
    <x:row r="30"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</x:row>
    <x:row r="31">
      <x:c r="D31" s="33"/>
      <x:c r="E31" s="33"/>
      <x:c r="F31" s="33"/>
      <x:c r="G31" s="33"/>
      <x:c r="H31" s="33"/>
      <x:c r="I31" s="33"/>
      <x:c r="J31" s="412" t="str">
        <x:v>CHECK</x:v>
      </x:c>
      <x:c r="K31" s="413" t="str">
        <x:v>A</x:v>
      </x:c>
      <x:c r="L31" s="413" t="str">
        <x:v>B</x:v>
      </x:c>
      <x:c r="M31" s="413" t="str">
        <x:v>C</x:v>
      </x:c>
      <x:c r="N31" s="414" t="str">
        <x:v>note</x:v>
      </x:c>
      <x:c r="O31" s="33"/>
      <x:c r="P31" s="33"/>
      <x:c r="Q31" s="33"/>
    </x:row>
    <x:row r="32">
      <x:c r="D32" s="33"/>
      <x:c r="E32" s="33"/>
      <x:c r="F32" s="33"/>
      <x:c r="G32" s="33"/>
      <x:c r="H32" s="33"/>
      <x:c r="I32" s="33"/>
      <x:c r="J32" s="32" t="str">
        <x:v>매대가시성</x:v>
      </x:c>
      <x:c r="K32" s="360" t="str">
        <x:v>○</x:v>
      </x:c>
      <x:c r="L32" s="360" t="str">
        <x:v>△</x:v>
      </x:c>
      <x:c r="M32" s="360" t="str">
        <x:v>○</x:v>
      </x:c>
      <x:c r="N32" s="34" t="str"/>
      <x:c r="O32" s="33"/>
      <x:c r="P32" s="33"/>
      <x:c r="Q32" s="33"/>
    </x:row>
    <x:row r="33">
      <x:c r="D33" s="33"/>
      <x:c r="E33" s="33"/>
      <x:c r="F33" s="33"/>
      <x:c r="G33" s="33"/>
      <x:c r="H33" s="33"/>
      <x:c r="I33" s="33"/>
      <x:c r="J33" s="32" t="str">
        <x:v>브랜드기억</x:v>
      </x:c>
      <x:c r="K33" s="360" t="str">
        <x:v>○</x:v>
      </x:c>
      <x:c r="L33" s="360" t="str">
        <x:v>○</x:v>
      </x:c>
      <x:c r="M33" s="360" t="str">
        <x:v>◎</x:v>
      </x:c>
      <x:c r="N33" s="34" t="str"/>
      <x:c r="O33" s="33"/>
      <x:c r="P33" s="33"/>
      <x:c r="Q33" s="33"/>
    </x:row>
    <x:row r="34">
      <x:c r="D34" s="33"/>
      <x:c r="E34" s="33"/>
      <x:c r="F34" s="33"/>
      <x:c r="G34" s="33"/>
      <x:c r="H34" s="33"/>
      <x:c r="I34" s="33"/>
      <x:c r="J34" s="32" t="str">
        <x:v>원가</x:v>
      </x:c>
      <x:c r="K34" s="360" t="str">
        <x:v>◎</x:v>
      </x:c>
      <x:c r="L34" s="360" t="str">
        <x:v>○</x:v>
      </x:c>
      <x:c r="M34" s="360" t="str">
        <x:v>△</x:v>
      </x:c>
      <x:c r="N34" s="34" t="str">
        <x:v>인쇄도수</x:v>
      </x:c>
      <x:c r="O34" s="33"/>
      <x:c r="P34" s="33"/>
      <x:c r="Q34" s="33"/>
    </x:row>
    <x:row r="35">
      <x:c r="D35" s="33"/>
      <x:c r="E35" s="33"/>
      <x:c r="F35" s="33"/>
      <x:c r="G35" s="33"/>
      <x:c r="H35" s="33"/>
      <x:c r="I35" s="33"/>
      <x:c r="J35" s="35" t="str">
        <x:v>최종</x:v>
      </x:c>
      <x:c r="K35" s="36" t="str">
        <x:v>?</x:v>
      </x:c>
      <x:c r="L35" s="36" t="str">
        <x:v>?</x:v>
      </x:c>
      <x:c r="M35" s="36" t="str">
        <x:v>?</x:v>
      </x:c>
      <x:c r="N35" s="37" t="str">
        <x:v>회의필요</x:v>
      </x:c>
      <x:c r="O35" s="33"/>
      <x:c r="P35" s="33"/>
      <x:c r="Q35" s="33"/>
    </x:row>
  </x:sheetData>
  <x:mergeCells>
    <x:mergeCell ref="D3:Q4"/>
    <x:mergeCell ref="D6:H6"/>
    <x:mergeCell ref="D14:H14"/>
    <x:mergeCell ref="D23:H28"/>
  </x:mergeCells>
  <x:pageMargins left="0.7" right="0.7" top="0.75" bottom="0.75" header="0.3" footer="0.3"/>
  <x:drawing xmlns:r="http://schemas.openxmlformats.org/officeDocument/2006/relationships" r:id="R99a3bbd1e3874439"/>
</x:worksheet>
</file>

<file path=xl/worksheets/sheet14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3">
      <x:c r="B3" s="427" t="str">
        <x:v>구분</x:v>
      </x:c>
      <x:c r="C3" s="428" t="str">
        <x:v>내용</x:v>
      </x:c>
      <x:c r="D3" s="428" t="str">
        <x:v>날짜</x:v>
      </x:c>
      <x:c r="E3" s="428" t="str">
        <x:v>누가</x:v>
      </x:c>
      <x:c r="F3" s="429" t="str">
        <x:v>비고</x:v>
      </x:c>
    </x:row>
    <x:row r="4">
      <x:c r="B4" s="15" t="str">
        <x:v>포장</x:v>
      </x:c>
      <x:c r="C4" s="359" t="str">
        <x:v>샘플 인쇄 3종</x:v>
      </x:c>
      <x:c r="D4" s="359" t="str">
        <x:v>2026-09-18</x:v>
      </x:c>
      <x:c r="E4" s="359" t="str">
        <x:v>박</x:v>
      </x:c>
      <x:c r="F4" s="17" t="str"/>
    </x:row>
    <x:row r="5">
      <x:c r="B5" s="15" t="str">
        <x:v>사진</x:v>
      </x:c>
      <x:c r="C5" s="359" t="str">
        <x:v>SNS 촬영 필요</x:v>
      </x:c>
      <x:c r="D5" s="359" t="str"/>
      <x:c r="E5" s="359" t="str"/>
      <x:c r="F5" s="17" t="str"/>
    </x:row>
    <x:row r="6">
      <x:c r="B6" s="15" t="str">
        <x:v>보류</x:v>
      </x:c>
      <x:c r="C6" s="359" t="str">
        <x:v>라벨 문구 확정 안 됨</x:v>
      </x:c>
      <x:c r="D6" s="359" t="str"/>
      <x:c r="E6" s="359" t="str"/>
      <x:c r="F6" s="17" t="str"/>
    </x:row>
    <x:row r="7">
      <x:c r="B7" s="15" t="str">
        <x:v>재고</x:v>
      </x:c>
      <x:c r="C7" s="359" t="str">
        <x:v>투명봉투 남음</x:v>
      </x:c>
      <x:c r="D7" s="359" t="str">
        <x:v>약 240장</x:v>
      </x:c>
      <x:c r="E7" s="359" t="str"/>
      <x:c r="F7" s="17" t="str"/>
    </x:row>
    <x:row r="8">
      <x:c r="B8" s="18" t="str">
        <x:v>TODO</x:v>
      </x:c>
      <x:c r="C8" s="19" t="str">
        <x:v>단가 다시 확인</x:v>
      </x:c>
      <x:c r="D8" s="19" t="str"/>
      <x:c r="E8" s="19" t="str"/>
      <x:c r="F8" s="20" t="str"/>
    </x:row>
  </x:sheetData>
  <x:pageMargins left="0.7" right="0.7" top="0.75" bottom="0.75" header="0.3" footer="0.3"/>
</x:worksheet>
</file>