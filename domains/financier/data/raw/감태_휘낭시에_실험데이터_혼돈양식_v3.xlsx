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8053b68ea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종합_감태" sheetId="1" r:id="R6b9f307a5d254396"/>
    <x:sheet xmlns:r="http://schemas.openxmlformats.org/officeDocument/2006/relationships" name="원가(수정중)" sheetId="2" r:id="R80272a4ed2c54346"/>
    <x:sheet xmlns:r="http://schemas.openxmlformats.org/officeDocument/2006/relationships" name="180C" sheetId="3" r:id="R59224d0f2613482e"/>
    <x:sheet xmlns:r="http://schemas.openxmlformats.org/officeDocument/2006/relationships" name="185" sheetId="4" r:id="Ra11af74ade8047f9"/>
    <x:sheet xmlns:r="http://schemas.openxmlformats.org/officeDocument/2006/relationships" name="190_감태" sheetId="5" r:id="Re4f7bd22c1ab4f42"/>
    <x:sheet xmlns:r="http://schemas.openxmlformats.org/officeDocument/2006/relationships" name="195-향평가" sheetId="6" r:id="Rdddba01196a24b22"/>
    <x:sheet xmlns:r="http://schemas.openxmlformats.org/officeDocument/2006/relationships" name="205℃" sheetId="7" r:id="R0df5e02c37d448ab"/>
    <x:sheet xmlns:r="http://schemas.openxmlformats.org/officeDocument/2006/relationships" name="210?" sheetId="8" r:id="Race1d57443cb420b"/>
    <x:sheet xmlns:r="http://schemas.openxmlformats.org/officeDocument/2006/relationships" name="코팅판매율" sheetId="9" r:id="Rd68dd11ac6b8477e"/>
    <x:sheet xmlns:r="http://schemas.openxmlformats.org/officeDocument/2006/relationships" name="향평가" sheetId="10" r:id="Ra47d6c15aa1d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color rgb="FFC00000"/>
      <x:name val="Carlito"/>
    </x:font>
    <x:font>
      <x:b/>
      <x:sz val="10"/>
      <x:color rgb="FF375623"/>
      <x:name val="Carlito"/>
    </x:font>
    <x:font>
      <x:b/>
      <x:sz val="10"/>
      <x:color rgb="FF000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A0522D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D9E2F3"/>
      </x:patternFill>
    </x:fill>
    <x:fill>
      <x:patternFill patternType="solid">
        <x:fgColor rgb="FF7F7F7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8" xfId="0" applyNumberFormat="1" applyFont="1" applyFill="1" applyBorder="1"/>
    <x:xf numFmtId="0" fontId="2" fillId="6" borderId="19" xfId="0" applyNumberFormat="1" applyFont="1" applyFill="1" applyBorder="1"/>
    <x:xf numFmtId="0" fontId="2" fillId="6" borderId="20" xfId="0" applyNumberFormat="1" applyFont="1" applyFill="1" applyBorder="1"/>
    <x:xf numFmtId="0" fontId="2" fillId="6" borderId="18" xfId="0" applyNumberFormat="1" applyFont="1" applyFill="1" applyBorder="1" applyAlignment="1">
      <x:alignment wrapText="1"/>
    </x:xf>
    <x:xf numFmtId="0" fontId="2" fillId="6" borderId="19" xfId="0" applyNumberFormat="1" applyFont="1" applyFill="1" applyBorder="1" applyAlignment="1">
      <x:alignment wrapText="1"/>
    </x:xf>
    <x:xf numFmtId="0" fontId="2" fillId="6" borderId="20" xfId="0" applyNumberFormat="1" applyFont="1" applyFill="1" applyBorder="1" applyAlignment="1">
      <x:alignment wrapText="1"/>
    </x:xf>
    <x:xf numFmtId="0" fontId="2" fillId="6" borderId="18" xfId="0" applyNumberFormat="1" applyFont="1" applyFill="1" applyBorder="1" applyAlignment="1">
      <x:alignment horizontal="center" wrapText="1"/>
    </x:xf>
    <x:xf numFmtId="0" fontId="2" fillId="6" borderId="19" xfId="0" applyNumberFormat="1" applyFont="1" applyFill="1" applyBorder="1" applyAlignment="1">
      <x:alignment horizontal="center" wrapText="1"/>
    </x:xf>
    <x:xf numFmtId="0" fontId="2" fillId="6" borderId="20" xfId="0" applyNumberFormat="1" applyFont="1" applyFill="1" applyBorder="1" applyAlignment="1">
      <x:alignment horizontal="center" wrapText="1"/>
    </x:xf>
    <x:xf numFmtId="0" fontId="2" fillId="6" borderId="18" xfId="0" applyNumberFormat="1" applyFont="1" applyFill="1" applyBorder="1" applyAlignment="1">
      <x:alignment horizontal="center" vertical="center" wrapText="1"/>
    </x:xf>
    <x:xf numFmtId="0" fontId="2" fillId="6" borderId="19" xfId="0" applyNumberFormat="1" applyFont="1" applyFill="1" applyBorder="1" applyAlignment="1">
      <x:alignment horizontal="center" vertical="center" wrapText="1"/>
    </x:xf>
    <x:xf numFmtId="0" fontId="2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21" xfId="0" applyNumberFormat="1" applyFont="1" applyFill="1" applyBorder="1"/>
    <x:xf numFmtId="0" fontId="2" fillId="6" borderId="22" xfId="0" applyNumberFormat="1" applyFont="1" applyFill="1" applyBorder="1"/>
    <x:xf numFmtId="0" fontId="2" fillId="6" borderId="23" xfId="0" applyNumberFormat="1" applyFont="1" applyFill="1" applyBorder="1"/>
    <x:xf numFmtId="0" fontId="2" fillId="6" borderId="21" xfId="0" applyNumberFormat="1" applyFont="1" applyFill="1" applyBorder="1" applyAlignment="1">
      <x:alignment wrapText="1"/>
    </x:xf>
    <x:xf numFmtId="0" fontId="2" fillId="6" borderId="22" xfId="0" applyNumberFormat="1" applyFont="1" applyFill="1" applyBorder="1" applyAlignment="1">
      <x:alignment wrapText="1"/>
    </x:xf>
    <x:xf numFmtId="0" fontId="2" fillId="6" borderId="23" xfId="0" applyNumberFormat="1" applyFont="1" applyFill="1" applyBorder="1" applyAlignment="1">
      <x:alignment wrapText="1"/>
    </x:xf>
    <x:xf numFmtId="0" fontId="2" fillId="6" borderId="21" xfId="0" applyNumberFormat="1" applyFont="1" applyFill="1" applyBorder="1" applyAlignment="1">
      <x:alignment horizontal="center" wrapText="1"/>
    </x:xf>
    <x:xf numFmtId="0" fontId="2" fillId="6" borderId="22" xfId="0" applyNumberFormat="1" applyFont="1" applyFill="1" applyBorder="1" applyAlignment="1">
      <x:alignment horizontal="center" wrapText="1"/>
    </x:xf>
    <x:xf numFmtId="0" fontId="2" fillId="6" borderId="23" xfId="0" applyNumberFormat="1" applyFont="1" applyFill="1" applyBorder="1" applyAlignment="1">
      <x:alignment horizontal="center" wrapText="1"/>
    </x:xf>
    <x:xf numFmtId="0" fontId="2" fillId="6" borderId="21" xfId="0" applyNumberFormat="1" applyFont="1" applyFill="1" applyBorder="1" applyAlignment="1">
      <x:alignment horizontal="center" vertical="center" wrapText="1"/>
    </x:xf>
    <x:xf numFmtId="0" fontId="2" fillId="6" borderId="22" xfId="0" applyNumberFormat="1" applyFont="1" applyFill="1" applyBorder="1" applyAlignment="1">
      <x:alignment horizontal="center" vertical="center" wrapText="1"/>
    </x:xf>
    <x:xf numFmtId="0" fontId="2" fillId="6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8" xfId="0" applyNumberFormat="1" applyFont="1" applyFill="1" applyBorder="1"/>
    <x:xf numFmtId="0" fontId="6" fillId="8" borderId="19" xfId="0" applyNumberFormat="1" applyFont="1" applyFill="1" applyBorder="1"/>
    <x:xf numFmtId="0" fontId="6" fillId="8" borderId="20" xfId="0" applyNumberFormat="1" applyFont="1" applyFill="1" applyBorder="1"/>
    <x:xf numFmtId="0" fontId="6" fillId="8" borderId="18" xfId="0" applyNumberFormat="1" applyFont="1" applyFill="1" applyBorder="1" applyAlignment="1">
      <x:alignment wrapText="1"/>
    </x:xf>
    <x:xf numFmtId="0" fontId="6" fillId="8" borderId="19" xfId="0" applyNumberFormat="1" applyFont="1" applyFill="1" applyBorder="1" applyAlignment="1">
      <x:alignment wrapText="1"/>
    </x:xf>
    <x:xf numFmtId="0" fontId="6" fillId="8" borderId="20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horizontal="center" wrapText="1"/>
    </x:xf>
    <x:xf numFmtId="0" fontId="6" fillId="8" borderId="19" xfId="0" applyNumberFormat="1" applyFont="1" applyFill="1" applyBorder="1" applyAlignment="1">
      <x:alignment horizontal="center" wrapText="1"/>
    </x:xf>
    <x:xf numFmtId="0" fontId="6" fillId="8" borderId="20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vertical="center" wrapText="1"/>
    </x:xf>
    <x:xf numFmtId="0" fontId="6" fillId="8" borderId="19" xfId="0" applyNumberFormat="1" applyFont="1" applyFill="1" applyBorder="1" applyAlignment="1">
      <x:alignment horizontal="center" vertical="center" wrapText="1"/>
    </x:xf>
    <x:xf numFmtId="0" fontId="6" fillId="8" borderId="2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21" xfId="0" applyNumberFormat="1" applyFont="1" applyFill="1" applyBorder="1"/>
    <x:xf numFmtId="0" fontId="6" fillId="8" borderId="22" xfId="0" applyNumberFormat="1" applyFont="1" applyFill="1" applyBorder="1"/>
    <x:xf numFmtId="0" fontId="6" fillId="8" borderId="23" xfId="0" applyNumberFormat="1" applyFont="1" applyFill="1" applyBorder="1"/>
    <x:xf numFmtId="0" fontId="6" fillId="8" borderId="21" xfId="0" applyNumberFormat="1" applyFont="1" applyFill="1" applyBorder="1" applyAlignment="1">
      <x:alignment wrapText="1"/>
    </x:xf>
    <x:xf numFmtId="0" fontId="6" fillId="8" borderId="22" xfId="0" applyNumberFormat="1" applyFont="1" applyFill="1" applyBorder="1" applyAlignment="1">
      <x:alignment wrapText="1"/>
    </x:xf>
    <x:xf numFmtId="0" fontId="6" fillId="8" borderId="23" xfId="0" applyNumberFormat="1" applyFont="1" applyFill="1" applyBorder="1" applyAlignment="1">
      <x:alignment wrapText="1"/>
    </x:xf>
    <x:xf numFmtId="0" fontId="6" fillId="8" borderId="21" xfId="0" applyNumberFormat="1" applyFont="1" applyFill="1" applyBorder="1" applyAlignment="1">
      <x:alignment horizontal="center" wrapText="1"/>
    </x:xf>
    <x:xf numFmtId="0" fontId="6" fillId="8" borderId="22" xfId="0" applyNumberFormat="1" applyFont="1" applyFill="1" applyBorder="1" applyAlignment="1">
      <x:alignment horizontal="center" wrapText="1"/>
    </x:xf>
    <x:xf numFmtId="0" fontId="6" fillId="8" borderId="23" xfId="0" applyNumberFormat="1" applyFont="1" applyFill="1" applyBorder="1" applyAlignment="1">
      <x:alignment horizontal="center" wrapText="1"/>
    </x:xf>
    <x:xf numFmtId="0" fontId="6" fillId="8" borderId="21" xfId="0" applyNumberFormat="1" applyFont="1" applyFill="1" applyBorder="1" applyAlignment="1">
      <x:alignment horizontal="center" vertical="center" wrapText="1"/>
    </x:xf>
    <x:xf numFmtId="0" fontId="6" fillId="8" borderId="22" xfId="0" applyNumberFormat="1" applyFont="1" applyFill="1" applyBorder="1" applyAlignment="1">
      <x:alignment horizontal="center" vertical="center" wrapText="1"/>
    </x:xf>
    <x:xf numFmtId="0" fontId="6" fillId="8" borderId="2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2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2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wrapText="1"/>
    </x:xf>
    <x:xf numFmtId="0" fontId="4" fillId="9" borderId="4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2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4" xfId="0" applyNumberFormat="1" applyFont="1" applyFill="1" applyBorder="1" applyAlignment="1">
      <x:alignment horizontal="center" wrapText="1"/>
    </x:xf>
    <x:xf numFmtId="0" fontId="4" fillId="9" borderId="7" xfId="0" applyNumberFormat="1" applyFont="1" applyFill="1" applyBorder="1" applyAlignment="1">
      <x:alignment horizontal="center" wrapText="1"/>
    </x:xf>
    <x:xf numFmtId="0" fontId="4" fillId="9" borderId="8" xfId="0" applyNumberFormat="1" applyFont="1" applyFill="1" applyBorder="1" applyAlignment="1">
      <x:alignment horizontal="center" wrapText="1"/>
    </x:xf>
    <x:xf numFmtId="0" fontId="4" fillId="9" borderId="9" xfId="0" applyNumberFormat="1" applyFont="1" applyFill="1" applyBorder="1" applyAlignment="1">
      <x:alignment horizont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7" xfId="0" applyNumberFormat="1" applyFont="1" applyFill="1" applyBorder="1" applyAlignment="1">
      <x:alignment horizontal="center" vertical="center" wrapText="1"/>
    </x:xf>
    <x:xf numFmtId="0" fontId="4" fillId="9" borderId="8" xfId="0" applyNumberFormat="1" applyFont="1" applyFill="1" applyBorder="1" applyAlignment="1">
      <x:alignment horizontal="center" vertical="center" wrapText="1"/>
    </x:xf>
    <x:xf numFmtId="0" fontId="4" fillId="9" borderId="9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0" xfId="0" applyNumberFormat="1" applyFont="1" applyFill="1" applyBorder="1"/>
    <x:xf numFmtId="0" fontId="4" fillId="9" borderId="11" xfId="0" applyNumberFormat="1" applyFont="1" applyFill="1" applyBorder="1"/>
    <x:xf numFmtId="0" fontId="4" fillId="9" borderId="12" xfId="0" applyNumberFormat="1" applyFont="1" applyFill="1" applyBorder="1"/>
    <x:xf numFmtId="0" fontId="4" fillId="9" borderId="15" xfId="0" applyNumberFormat="1" applyFont="1" applyFill="1" applyBorder="1"/>
    <x:xf numFmtId="0" fontId="4" fillId="9" borderId="16" xfId="0" applyNumberFormat="1" applyFont="1" applyFill="1" applyBorder="1"/>
    <x:xf numFmtId="0" fontId="4" fillId="9" borderId="17" xfId="0" applyNumberFormat="1" applyFont="1" applyFill="1" applyBorder="1"/>
    <x:xf numFmtId="0" fontId="4" fillId="9" borderId="10" xfId="0" applyNumberFormat="1" applyFont="1" applyFill="1" applyBorder="1" applyAlignment="1">
      <x:alignment wrapText="1"/>
    </x:xf>
    <x:xf numFmtId="0" fontId="4" fillId="9" borderId="11" xfId="0" applyNumberFormat="1" applyFont="1" applyFill="1" applyBorder="1" applyAlignment="1">
      <x:alignment wrapText="1"/>
    </x:xf>
    <x:xf numFmtId="0" fontId="4" fillId="9" borderId="12" xfId="0" applyNumberFormat="1" applyFont="1" applyFill="1" applyBorder="1" applyAlignment="1">
      <x:alignment wrapText="1"/>
    </x:xf>
    <x:xf numFmtId="0" fontId="4" fillId="9" borderId="15" xfId="0" applyNumberFormat="1" applyFont="1" applyFill="1" applyBorder="1" applyAlignment="1">
      <x:alignment wrapText="1"/>
    </x:xf>
    <x:xf numFmtId="0" fontId="4" fillId="9" borderId="16" xfId="0" applyNumberFormat="1" applyFont="1" applyFill="1" applyBorder="1" applyAlignment="1">
      <x:alignment wrapText="1"/>
    </x:xf>
    <x:xf numFmtId="0" fontId="4" fillId="9" borderId="17" xfId="0" applyNumberFormat="1" applyFont="1" applyFill="1" applyBorder="1" applyAlignment="1">
      <x:alignment wrapText="1"/>
    </x:xf>
    <x:xf numFmtId="0" fontId="4" fillId="9" borderId="10" xfId="0" applyNumberFormat="1" applyFont="1" applyFill="1" applyBorder="1" applyAlignment="1">
      <x:alignment horizontal="center" wrapText="1"/>
    </x:xf>
    <x:xf numFmtId="0" fontId="4" fillId="9" borderId="11" xfId="0" applyNumberFormat="1" applyFont="1" applyFill="1" applyBorder="1" applyAlignment="1">
      <x:alignment horizontal="center" wrapText="1"/>
    </x:xf>
    <x:xf numFmtId="0" fontId="4" fillId="9" borderId="12" xfId="0" applyNumberFormat="1" applyFont="1" applyFill="1" applyBorder="1" applyAlignment="1">
      <x:alignment horizontal="center" wrapText="1"/>
    </x:xf>
    <x:xf numFmtId="0" fontId="4" fillId="9" borderId="15" xfId="0" applyNumberFormat="1" applyFont="1" applyFill="1" applyBorder="1" applyAlignment="1">
      <x:alignment horizontal="center" wrapText="1"/>
    </x:xf>
    <x:xf numFmtId="0" fontId="4" fillId="9" borderId="16" xfId="0" applyNumberFormat="1" applyFont="1" applyFill="1" applyBorder="1" applyAlignment="1">
      <x:alignment horizontal="center" wrapText="1"/>
    </x:xf>
    <x:xf numFmtId="0" fontId="4" fillId="9" borderId="17" xfId="0" applyNumberFormat="1" applyFont="1" applyFill="1" applyBorder="1" applyAlignment="1">
      <x:alignment horizontal="center" wrapText="1"/>
    </x:xf>
    <x:xf numFmtId="0" fontId="4" fillId="9" borderId="10" xfId="0" applyNumberFormat="1" applyFont="1" applyFill="1" applyBorder="1" applyAlignment="1">
      <x:alignment horizontal="center" vertical="center" wrapText="1"/>
    </x:xf>
    <x:xf numFmtId="0" fontId="4" fillId="9" borderId="11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5" xfId="0" applyNumberFormat="1" applyFont="1" applyFill="1" applyBorder="1" applyAlignment="1">
      <x:alignment horizontal="center" vertical="center" wrapText="1"/>
    </x:xf>
    <x:xf numFmtId="0" fontId="4" fillId="9" borderId="16" xfId="0" applyNumberFormat="1" applyFont="1" applyFill="1" applyBorder="1" applyAlignment="1">
      <x:alignment horizontal="center" vertical="center" wrapText="1"/>
    </x:xf>
    <x:xf numFmtId="0" fontId="4" fillId="9" borderId="1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8" xfId="0" applyNumberFormat="1" applyFont="1" applyFill="1" applyBorder="1"/>
    <x:xf numFmtId="0" fontId="7" fillId="10" borderId="19" xfId="0" applyNumberFormat="1" applyFont="1" applyFill="1" applyBorder="1"/>
    <x:xf numFmtId="0" fontId="7" fillId="10" borderId="20" xfId="0" applyNumberFormat="1" applyFont="1" applyFill="1" applyBorder="1"/>
    <x:xf numFmtId="0" fontId="7" fillId="10" borderId="18" xfId="0" applyNumberFormat="1" applyFont="1" applyFill="1" applyBorder="1" applyAlignment="1">
      <x:alignment wrapText="1"/>
    </x:xf>
    <x:xf numFmtId="0" fontId="7" fillId="10" borderId="19" xfId="0" applyNumberFormat="1" applyFont="1" applyFill="1" applyBorder="1" applyAlignment="1">
      <x:alignment wrapText="1"/>
    </x:xf>
    <x:xf numFmtId="0" fontId="7" fillId="10" borderId="20" xfId="0" applyNumberFormat="1" applyFont="1" applyFill="1" applyBorder="1" applyAlignment="1">
      <x:alignment wrapText="1"/>
    </x:xf>
    <x:xf numFmtId="0" fontId="7" fillId="10" borderId="18" xfId="0" applyNumberFormat="1" applyFont="1" applyFill="1" applyBorder="1" applyAlignment="1">
      <x:alignment horizontal="center" wrapText="1"/>
    </x:xf>
    <x:xf numFmtId="0" fontId="7" fillId="10" borderId="19" xfId="0" applyNumberFormat="1" applyFont="1" applyFill="1" applyBorder="1" applyAlignment="1">
      <x:alignment horizontal="center" wrapText="1"/>
    </x:xf>
    <x:xf numFmtId="0" fontId="7" fillId="10" borderId="20" xfId="0" applyNumberFormat="1" applyFont="1" applyFill="1" applyBorder="1" applyAlignment="1">
      <x:alignment horizontal="center" wrapText="1"/>
    </x:xf>
    <x:xf numFmtId="0" fontId="7" fillId="10" borderId="18" xfId="0" applyNumberFormat="1" applyFont="1" applyFill="1" applyBorder="1" applyAlignment="1">
      <x:alignment horizontal="center" vertical="center" wrapText="1"/>
    </x:xf>
    <x:xf numFmtId="0" fontId="7" fillId="10" borderId="19" xfId="0" applyNumberFormat="1" applyFont="1" applyFill="1" applyBorder="1" applyAlignment="1">
      <x:alignment horizontal="center" vertical="center" wrapText="1"/>
    </x:xf>
    <x:xf numFmtId="0" fontId="7" fillId="10" borderId="2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7" fillId="10" borderId="1" xfId="0" applyNumberFormat="1" applyFont="1" applyFill="1" applyBorder="1"/>
    <x:xf numFmtId="0" fontId="7" fillId="10" borderId="21" xfId="0" applyNumberFormat="1" applyFont="1" applyFill="1" applyBorder="1"/>
    <x:xf numFmtId="0" fontId="7" fillId="10" borderId="22" xfId="0" applyNumberFormat="1" applyFont="1" applyFill="1" applyBorder="1"/>
    <x:xf numFmtId="0" fontId="7" fillId="10" borderId="23" xfId="0" applyNumberFormat="1" applyFont="1" applyFill="1" applyBorder="1"/>
    <x:xf numFmtId="0" fontId="7" fillId="10" borderId="21" xfId="0" applyNumberFormat="1" applyFont="1" applyFill="1" applyBorder="1" applyAlignment="1">
      <x:alignment wrapText="1"/>
    </x:xf>
    <x:xf numFmtId="0" fontId="7" fillId="10" borderId="22" xfId="0" applyNumberFormat="1" applyFont="1" applyFill="1" applyBorder="1" applyAlignment="1">
      <x:alignment wrapText="1"/>
    </x:xf>
    <x:xf numFmtId="0" fontId="7" fillId="10" borderId="23" xfId="0" applyNumberFormat="1" applyFont="1" applyFill="1" applyBorder="1" applyAlignment="1">
      <x:alignment wrapText="1"/>
    </x:xf>
    <x:xf numFmtId="0" fontId="7" fillId="10" borderId="21" xfId="0" applyNumberFormat="1" applyFont="1" applyFill="1" applyBorder="1" applyAlignment="1">
      <x:alignment horizontal="center" wrapText="1"/>
    </x:xf>
    <x:xf numFmtId="0" fontId="7" fillId="10" borderId="22" xfId="0" applyNumberFormat="1" applyFont="1" applyFill="1" applyBorder="1" applyAlignment="1">
      <x:alignment horizontal="center" wrapText="1"/>
    </x:xf>
    <x:xf numFmtId="0" fontId="7" fillId="10" borderId="23" xfId="0" applyNumberFormat="1" applyFont="1" applyFill="1" applyBorder="1" applyAlignment="1">
      <x:alignment horizontal="center" wrapText="1"/>
    </x:xf>
    <x:xf numFmtId="0" fontId="7" fillId="10" borderId="21" xfId="0" applyNumberFormat="1" applyFont="1" applyFill="1" applyBorder="1" applyAlignment="1">
      <x:alignment horizontal="center" vertical="center" wrapText="1"/>
    </x:xf>
    <x:xf numFmtId="0" fontId="7" fillId="10" borderId="22" xfId="0" applyNumberFormat="1" applyFont="1" applyFill="1" applyBorder="1" applyAlignment="1">
      <x:alignment horizontal="center" vertical="center" wrapText="1"/>
    </x:xf>
    <x:xf numFmtId="0" fontId="7" fillId="10" borderId="23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/>
    <x:xf numFmtId="0" fontId="0" fillId="11" borderId="3" xfId="0" applyNumberFormat="1" applyFont="1" applyFill="1" applyBorder="1"/>
    <x:xf numFmtId="0" fontId="0" fillId="11" borderId="4" xfId="0" applyNumberFormat="1" applyFont="1" applyFill="1" applyBorder="1"/>
    <x:xf numFmtId="0" fontId="2" fillId="11" borderId="2" xfId="0" applyNumberFormat="1" applyFont="1" applyFill="1" applyBorder="1"/>
    <x:xf numFmtId="0" fontId="2" fillId="11" borderId="3" xfId="0" applyNumberFormat="1" applyFont="1" applyFill="1" applyBorder="1"/>
    <x:xf numFmtId="0" fontId="2" fillId="11" borderId="4" xfId="0" applyNumberFormat="1" applyFont="1" applyFill="1" applyBorder="1"/>
    <x:xf numFmtId="0" fontId="2" fillId="11" borderId="18" xfId="0" applyNumberFormat="1" applyFont="1" applyFill="1" applyBorder="1"/>
    <x:xf numFmtId="0" fontId="2" fillId="11" borderId="19" xfId="0" applyNumberFormat="1" applyFont="1" applyFill="1" applyBorder="1"/>
    <x:xf numFmtId="0" fontId="2" fillId="11" borderId="20" xfId="0" applyNumberFormat="1" applyFont="1" applyFill="1" applyBorder="1"/>
    <x:xf numFmtId="0" fontId="2" fillId="11" borderId="18" xfId="0" applyNumberFormat="1" applyFont="1" applyFill="1" applyBorder="1" applyAlignment="1">
      <x:alignment wrapText="1"/>
    </x:xf>
    <x:xf numFmtId="0" fontId="2" fillId="11" borderId="19" xfId="0" applyNumberFormat="1" applyFont="1" applyFill="1" applyBorder="1" applyAlignment="1">
      <x:alignment wrapText="1"/>
    </x:xf>
    <x:xf numFmtId="0" fontId="2" fillId="11" borderId="20" xfId="0" applyNumberFormat="1" applyFont="1" applyFill="1" applyBorder="1" applyAlignment="1">
      <x:alignment wrapText="1"/>
    </x:xf>
    <x:xf numFmtId="0" fontId="2" fillId="11" borderId="18" xfId="0" applyNumberFormat="1" applyFont="1" applyFill="1" applyBorder="1" applyAlignment="1">
      <x:alignment horizontal="center" wrapText="1"/>
    </x:xf>
    <x:xf numFmtId="0" fontId="2" fillId="11" borderId="19" xfId="0" applyNumberFormat="1" applyFont="1" applyFill="1" applyBorder="1" applyAlignment="1">
      <x:alignment horizontal="center" wrapText="1"/>
    </x:xf>
    <x:xf numFmtId="0" fontId="2" fillId="11" borderId="20" xfId="0" applyNumberFormat="1" applyFont="1" applyFill="1" applyBorder="1" applyAlignment="1">
      <x:alignment horizontal="center" wrapText="1"/>
    </x:xf>
    <x:xf numFmtId="0" fontId="2" fillId="11" borderId="18" xfId="0" applyNumberFormat="1" applyFont="1" applyFill="1" applyBorder="1" applyAlignment="1">
      <x:alignment horizontal="center" vertical="center" wrapText="1"/>
    </x:xf>
    <x:xf numFmtId="0" fontId="2" fillId="11" borderId="19" xfId="0" applyNumberFormat="1" applyFont="1" applyFill="1" applyBorder="1" applyAlignment="1">
      <x:alignment horizontal="center" vertical="center" wrapText="1"/>
    </x:xf>
    <x:xf numFmtId="0" fontId="2" fillId="11" borderId="2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e07d6042f4438" /><Relationship Type="http://schemas.openxmlformats.org/officeDocument/2006/relationships/theme" Target="/xl/theme/theme1.xml" Id="R74dcc38f2e40435d" /><Relationship Type="http://schemas.openxmlformats.org/officeDocument/2006/relationships/sharedStrings" Target="/xl/sharedStrings.xml" Id="Rebe3a0e214e04206" /><Relationship Type="http://schemas.openxmlformats.org/officeDocument/2006/relationships/worksheet" Target="/xl/worksheets/sheet1.xml" Id="R6b9f307a5d254396" /><Relationship Type="http://schemas.openxmlformats.org/officeDocument/2006/relationships/worksheet" Target="/xl/worksheets/sheet2.xml" Id="R80272a4ed2c54346" /><Relationship Type="http://schemas.openxmlformats.org/officeDocument/2006/relationships/worksheet" Target="/xl/worksheets/sheet3.xml" Id="R59224d0f2613482e" /><Relationship Type="http://schemas.openxmlformats.org/officeDocument/2006/relationships/worksheet" Target="/xl/worksheets/sheet4.xml" Id="Ra11af74ade8047f9" /><Relationship Type="http://schemas.openxmlformats.org/officeDocument/2006/relationships/worksheet" Target="/xl/worksheets/sheet5.xml" Id="Re4f7bd22c1ab4f42" /><Relationship Type="http://schemas.openxmlformats.org/officeDocument/2006/relationships/worksheet" Target="/xl/worksheets/sheet6.xml" Id="Rdddba01196a24b22" /><Relationship Type="http://schemas.openxmlformats.org/officeDocument/2006/relationships/worksheet" Target="/xl/worksheets/sheet7.xml" Id="R0df5e02c37d448ab" /><Relationship Type="http://schemas.openxmlformats.org/officeDocument/2006/relationships/worksheet" Target="/xl/worksheets/sheet8.xml" Id="Race1d57443cb420b" /><Relationship Type="http://schemas.openxmlformats.org/officeDocument/2006/relationships/worksheet" Target="/xl/worksheets/sheet9.xml" Id="Rd68dd11ac6b8477e" /><Relationship Type="http://schemas.openxmlformats.org/officeDocument/2006/relationships/worksheet" Target="/xl/worksheets/sheet10.xml" Id="Ra47d6c15aa1d4d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d9a46dd4b934f80" /><Relationship Type="http://schemas.openxmlformats.org/officeDocument/2006/relationships/chart" Target="/xl/drawings/charts/chart1.xml" Id="Rfb7a63a1e89d40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0ed982fb7ee411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492244f012b42f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99a21f64027e47c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6d6583c9c683476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773968031c734b03" /><Relationship Type="http://schemas.openxmlformats.org/officeDocument/2006/relationships/chart" Target="/xl/drawings/charts/chart2.xml" Id="R9fda7b9a57044b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Oven vs core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'종합_감태'!$I$9:$I$14</c:f>
              <c:strCache>
                <c:ptCount val="0"/>
              </c:strCache>
            </c:strRef>
          </c:cat>
          <c:val>
            <c:numRef>
              <c:f>'종합_감태'!$J$9:$J$14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vs cost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₩/ea</c:v>
          </c:tx>
          <c:marker>
            <c:symbol val="none"/>
          </c:marker>
          <c:cat>
            <c:strRef>
              <c:f>'코팅판매율'!$F$8:$F$13</c:f>
              <c:strCache>
                <c:ptCount val="0"/>
              </c:strCache>
            </c:strRef>
          </c:cat>
          <c:val>
            <c:numRef>
              <c:f>'코팅판매율'!$G$8:$G$13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₩/ea</c:v>
          </c:tx>
          <c:marker>
            <c:symbol val="none"/>
          </c:marker>
          <c:cat>
            <c:strRef>
              <c:f>'코팅판매율'!$F$8:$F$13</c:f>
              <c:strCache>
                <c:ptCount val="0"/>
              </c:strCache>
            </c:strRef>
          </c:cat>
          <c:val>
            <c:numRef>
              <c:f>'코팅판매율'!$H$8:$H$13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%</c:v>
          </c:tx>
          <c:marker>
            <c:symbol val="none"/>
          </c:marker>
          <c:cat>
            <c:strRef>
              <c:f>'코팅판매율'!$F$8:$F$13</c:f>
              <c:strCache>
                <c:ptCount val="0"/>
              </c:strCache>
            </c:strRef>
          </c:cat>
          <c:val>
            <c:numRef>
              <c:f>'코팅판매율'!$I$8:$I$13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%</c:v>
          </c:tx>
          <c:marker>
            <c:symbol val="none"/>
          </c:marker>
          <c:cat>
            <c:strRef>
              <c:f>'코팅판매율'!$F$8:$F$13</c:f>
              <c:strCache>
                <c:ptCount val="0"/>
              </c:strCache>
            </c:strRef>
          </c:cat>
          <c:val>
            <c:numRef>
              <c:f>'코팅판매율'!$J$8:$J$13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17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7a63a1e89d40b1"/>
        </a:graphicData>
      </a:graphic>
    </xdr:graphicFrame>
    <xdr:clientData/>
  </xdr:twoCellAnchor>
  <xdr:oneCellAnchor>
    <xdr:from>
      <xdr:col>16</xdr:col>
      <xdr:colOff>0</xdr:colOff>
      <xdr:row>5</xdr:row>
      <xdr:rowOff>0</xdr:rowOff>
    </xdr:from>
    <xdr:ext cx="2857500" cy="1333500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9a46dd4b934f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15</xdr:col>
      <xdr:colOff>0</xdr:colOff>
      <xdr:row>15</xdr:row>
      <xdr:rowOff>0</xdr:rowOff>
    </xdr:from>
    <xdr:ext cx="2381250" cy="1143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d982fb7ee41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20</xdr:col>
      <xdr:colOff>0</xdr:colOff>
      <xdr:row>22</xdr:row>
      <xdr:rowOff>0</xdr:rowOff>
    </xdr:from>
    <xdr:ext cx="2286000" cy="104775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2244f012b42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20</xdr:col>
      <xdr:colOff>0</xdr:colOff>
      <xdr:row>22</xdr:row>
      <xdr:rowOff>0</xdr:rowOff>
    </xdr:from>
    <xdr:ext cx="2286000" cy="104775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21f64027e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20</xdr:col>
      <xdr:colOff>0</xdr:colOff>
      <xdr:row>22</xdr:row>
      <xdr:rowOff>0</xdr:rowOff>
    </xdr:from>
    <xdr:ext cx="2286000" cy="1047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6583c9c68347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da7b9a57044b0d"/>
        </a:graphicData>
      </a:graphic>
    </xdr:graphicFrame>
    <xdr:clientData/>
  </xdr:twoCellAnchor>
  <xdr:oneCellAnchor>
    <xdr:from>
      <xdr:col>17</xdr:col>
      <xdr:colOff>0</xdr:colOff>
      <xdr:row>5</xdr:row>
      <xdr:rowOff>0</xdr:rowOff>
    </xdr:from>
    <xdr:ext cx="2381250" cy="1095375"/>
    <xdr:pic>
      <xdr:nvPicPr>
        <xdr:cNvPr id="2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968031c734b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9a587091264b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f57388a225d42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f415db2ba43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cfdddffffa6344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0f5ac55e8d1f41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942b5834a225478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4">
      <x:c r="C4" s="6" t="str">
        <x:v>감태 휘낭시에 — 실험 종합 / Gamtae FINANCIER</x:v>
      </x:c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</x:row>
    <x:row r="5"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</x:row>
    <x:row r="7">
      <x:c r="C7" s="29" t="str">
        <x:v>Recipe</x:v>
      </x:c>
      <x:c r="D7" s="30" t="str">
        <x:v>감태</x:v>
      </x:c>
      <x:c r="E7" s="30" t="str">
        <x:v>ver.</x:v>
      </x:c>
      <x:c r="F7" s="30" t="str">
        <x:v>β2.4</x:v>
      </x:c>
      <x:c r="G7" s="31"/>
    </x:row>
    <x:row r="8">
      <x:c r="C8" s="32" t="str">
        <x:v>실험기간</x:v>
      </x:c>
      <x:c r="D8" s="33" t="str">
        <x:v>2026-08~09</x:v>
      </x:c>
      <x:c r="E8" s="33" t="str">
        <x:v>n</x:v>
      </x:c>
      <x:c r="F8" s="33" t="str">
        <x:v>mixed</x:v>
      </x:c>
      <x:c r="G8" s="34"/>
      <x:c r="I8" s="58" t="str">
        <x:v>Oven</x:v>
      </x:c>
      <x:c r="J8" s="59" t="str">
        <x:v>core max</x:v>
      </x:c>
      <x:c r="K8" s="59" t="str">
        <x:v>rise</x:v>
      </x:c>
      <x:c r="L8" s="59" t="str">
        <x:v>crack%</x:v>
      </x:c>
      <x:c r="M8" s="59" t="str">
        <x:v>cost/ea</x:v>
      </x:c>
      <x:c r="N8" s="60" t="str">
        <x:v>note</x:v>
      </x:c>
    </x:row>
    <x:row r="9">
      <x:c r="C9" s="32" t="str">
        <x:v>주요변수</x:v>
      </x:c>
      <x:c r="D9" s="33" t="str">
        <x:v>oven/temp/add-in</x:v>
      </x:c>
      <x:c r="E9" s="33" t="str">
        <x:v>판정</x:v>
      </x:c>
      <x:c r="F9" s="33" t="str">
        <x:v>core temp + rise</x:v>
      </x:c>
      <x:c r="G9" s="34"/>
      <x:c r="I9" s="12" t="n">
        <x:v>180</x:v>
      </x:c>
      <x:c r="J9" s="13" t="n">
        <x:v>93.1</x:v>
      </x:c>
      <x:c r="K9" s="13" t="n">
        <x:v>10</x:v>
      </x:c>
      <x:c r="L9" s="13" t="n">
        <x:v>2</x:v>
      </x:c>
      <x:c r="M9" s="13" t="n">
        <x:v>427.8</x:v>
      </x:c>
      <x:c r="N9" s="14" t="str">
        <x:v>pale</x:v>
      </x:c>
    </x:row>
    <x:row r="10">
      <x:c r="C10" s="32" t="str">
        <x:v>기록상태</x:v>
      </x:c>
      <x:c r="D10" s="33" t="str">
        <x:v>수기+사진+수식</x:v>
      </x:c>
      <x:c r="E10" s="33" t="str">
        <x:v>memo</x:v>
      </x:c>
      <x:c r="F10" s="33" t="str">
        <x:v>영/한/기호 혼용</x:v>
      </x:c>
      <x:c r="G10" s="34"/>
      <x:c r="I10" s="15" t="n">
        <x:v>185</x:v>
      </x:c>
      <x:c r="J10" s="16" t="n">
        <x:v>94</x:v>
      </x:c>
      <x:c r="K10" s="16" t="n">
        <x:v>10.6</x:v>
      </x:c>
      <x:c r="L10" s="16" t="n">
        <x:v>2</x:v>
      </x:c>
      <x:c r="M10" s="16" t="n">
        <x:v>430.3</x:v>
      </x:c>
      <x:c r="N10" s="17" t="str">
        <x:v>pale</x:v>
      </x:c>
    </x:row>
    <x:row r="11">
      <x:c r="C11" s="32" t="str">
        <x:v>중요</x:v>
      </x:c>
      <x:c r="D11" s="33" t="str">
        <x:v>색상도 의미 있음</x:v>
      </x:c>
      <x:c r="E11" s="33" t="str">
        <x:v>주의</x:v>
      </x:c>
      <x:c r="F11" s="33" t="str">
        <x:v>일부 셀은 계산값</x:v>
      </x:c>
      <x:c r="G11" s="34"/>
      <x:c r="I11" s="15" t="n">
        <x:v>190</x:v>
      </x:c>
      <x:c r="J11" s="16" t="n">
        <x:v>95.2</x:v>
      </x:c>
      <x:c r="K11" s="16" t="n">
        <x:v>11.5</x:v>
      </x:c>
      <x:c r="L11" s="16" t="n">
        <x:v>5.7</x:v>
      </x:c>
      <x:c r="M11" s="16" t="n">
        <x:v>432.8</x:v>
      </x:c>
      <x:c r="N11" s="17" t="str">
        <x:v>best</x:v>
      </x:c>
    </x:row>
    <x:row r="12">
      <x:c r="C12" s="35" t="str">
        <x:v>파일 메모</x:v>
      </x:c>
      <x:c r="D12" s="36" t="str">
        <x:v>형식 통일 안 함</x:v>
      </x:c>
      <x:c r="E12" s="36" t="str">
        <x:v>owner</x:v>
      </x:c>
      <x:c r="F12" s="36" t="str">
        <x:v>미기입</x:v>
      </x:c>
      <x:c r="G12" s="37"/>
      <x:c r="I12" s="15" t="n">
        <x:v>195</x:v>
      </x:c>
      <x:c r="J12" s="16" t="n">
        <x:v>96.1</x:v>
      </x:c>
      <x:c r="K12" s="16" t="n">
        <x:v>11.8</x:v>
      </x:c>
      <x:c r="L12" s="16" t="n">
        <x:v>10.6</x:v>
      </x:c>
      <x:c r="M12" s="16" t="n">
        <x:v>435.3</x:v>
      </x:c>
      <x:c r="N12" s="17" t="str">
        <x:v>best</x:v>
      </x:c>
    </x:row>
    <x:row r="13">
      <x:c r="I13" s="15" t="n">
        <x:v>205</x:v>
      </x:c>
      <x:c r="J13" s="16" t="n">
        <x:v>97.1</x:v>
      </x:c>
      <x:c r="K13" s="16" t="n">
        <x:v>13.2</x:v>
      </x:c>
      <x:c r="L13" s="16" t="n">
        <x:v>14.9</x:v>
      </x:c>
      <x:c r="M13" s="16" t="n">
        <x:v>440.3</x:v>
      </x:c>
      <x:c r="N13" s="17" t="str">
        <x:v>dark↑</x:v>
      </x:c>
    </x:row>
    <x:row r="14">
      <x:c r="I14" s="18" t="n">
        <x:v>210</x:v>
      </x:c>
      <x:c r="J14" s="19" t="n">
        <x:v>98</x:v>
      </x:c>
      <x:c r="K14" s="19" t="n">
        <x:v>14.8</x:v>
      </x:c>
      <x:c r="L14" s="19" t="n">
        <x:v>19.7</x:v>
      </x:c>
      <x:c r="M14" s="19" t="n">
        <x:v>442.8</x:v>
      </x:c>
      <x:c r="N14" s="20" t="str">
        <x:v>dark↑</x:v>
      </x:c>
    </x:row>
    <x:row r="18">
      <x:c r="K18" s="85" t="str">
        <x:v>메모 / sticky note
• oven 실제편차 ±3℃ 추정
• 일부 사진은 다른 batch reference
• '부풀기' 측정 기준이 사람마다 약간 다름
• 색 진함/굵은 글씨 = 중요 표시</x:v>
      </x:c>
      <x:c r="L18" s="86"/>
      <x:c r="M18" s="86"/>
      <x:c r="N18" s="86"/>
      <x:c r="O18" s="87"/>
    </x:row>
    <x:row r="19">
      <x:c r="K19" s="88"/>
      <x:c r="L19" s="89"/>
      <x:c r="M19" s="89"/>
      <x:c r="N19" s="89"/>
      <x:c r="O19" s="90"/>
    </x:row>
    <x:row r="20">
      <x:c r="K20" s="88"/>
      <x:c r="L20" s="89"/>
      <x:c r="M20" s="89"/>
      <x:c r="N20" s="89"/>
      <x:c r="O20" s="90"/>
    </x:row>
    <x:row r="21">
      <x:c r="K21" s="88"/>
      <x:c r="L21" s="89"/>
      <x:c r="M21" s="89"/>
      <x:c r="N21" s="89"/>
      <x:c r="O21" s="90"/>
    </x:row>
    <x:row r="22">
      <x:c r="K22" s="88"/>
      <x:c r="L22" s="89"/>
      <x:c r="M22" s="89"/>
      <x:c r="N22" s="89"/>
      <x:c r="O22" s="90"/>
    </x:row>
    <x:row r="23">
      <x:c r="K23" s="91"/>
      <x:c r="L23" s="92"/>
      <x:c r="M23" s="92"/>
      <x:c r="N23" s="92"/>
      <x:c r="O23" s="93"/>
    </x:row>
  </x:sheetData>
  <x:mergeCells>
    <x:mergeCell ref="C4:O5"/>
    <x:mergeCell ref="K18:O23"/>
  </x:mergeCells>
  <x:pageMargins left="0.7" right="0.7" top="0.75" bottom="0.75" header="0.3" footer="0.3"/>
  <x:drawing xmlns:r="http://schemas.openxmlformats.org/officeDocument/2006/relationships" r:id="Rf59a587091264bd7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5">
      <x:c r="E5" s="116" t="str">
        <x:v>감태 재료/원가 기록  COST??</x:v>
      </x:c>
      <x:c r="F5" s="116"/>
      <x:c r="G5" s="116"/>
      <x:c r="H5" s="116"/>
      <x:c r="I5" s="116"/>
      <x:c r="J5" s="116"/>
      <x:c r="K5" s="116"/>
      <x:c r="L5" s="116"/>
      <x:c r="M5" s="116"/>
    </x:row>
    <x:row r="6">
      <x:c r="E6" s="116"/>
      <x:c r="F6" s="116"/>
      <x:c r="G6" s="116"/>
      <x:c r="H6" s="116"/>
      <x:c r="I6" s="116"/>
      <x:c r="J6" s="116"/>
      <x:c r="K6" s="116"/>
      <x:c r="L6" s="116"/>
      <x:c r="M6" s="116"/>
    </x:row>
    <x:row r="7">
      <x:c r="E7" s="132" t="str">
        <x:v>원재료</x:v>
      </x:c>
      <x:c r="F7" s="133" t="str">
        <x:v>영문명</x:v>
      </x:c>
      <x:c r="G7" s="133" t="str">
        <x:v>배합</x:v>
      </x:c>
      <x:c r="H7" s="133" t="str">
        <x:v>unit</x:v>
      </x:c>
      <x:c r="I7" s="133" t="str">
        <x:v>단가</x:v>
      </x:c>
      <x:c r="J7" s="133" t="str">
        <x:v>배치원가</x:v>
      </x:c>
      <x:c r="K7" s="133" t="str">
        <x:v>%</x:v>
      </x:c>
      <x:c r="L7" s="133" t="str">
        <x:v>공급사</x:v>
      </x:c>
      <x:c r="M7" s="134" t="str">
        <x:v>메모</x:v>
      </x:c>
    </x:row>
    <x:row r="8">
      <x:c r="E8" s="12" t="str">
        <x:v>버터</x:v>
      </x:c>
      <x:c r="F8" s="13" t="str">
        <x:v>Butter</x:v>
      </x:c>
      <x:c r="G8" s="13" t="n">
        <x:v>0.118</x:v>
      </x:c>
      <x:c r="H8" s="13" t="str">
        <x:v>kg</x:v>
      </x:c>
      <x:c r="I8" s="13" t="n">
        <x:v>12800</x:v>
      </x:c>
      <x:c r="J8" s="13" t="n">
        <x:v>1510.4</x:v>
      </x:c>
      <x:c r="K8" s="13" t="n">
        <x:f>ROUND(J8/SUM($J$8:$J$15)*100,2)</x:f>
        <x:v>30.49</x:v>
      </x:c>
      <x:c r="L8" s="13" t="str">
        <x:v>A푸드</x:v>
      </x:c>
      <x:c r="M8" s="14" t="str">
        <x:v>spec?</x:v>
      </x:c>
    </x:row>
    <x:row r="9">
      <x:c r="E9" s="15" t="str">
        <x:v>아몬드가루</x:v>
      </x:c>
      <x:c r="F9" s="16" t="str">
        <x:v>Almond powder</x:v>
      </x:c>
      <x:c r="G9" s="16" t="n">
        <x:v>92</x:v>
      </x:c>
      <x:c r="H9" s="16" t="str">
        <x:v>g</x:v>
      </x:c>
      <x:c r="I9" s="16" t="n">
        <x:v>18.5</x:v>
      </x:c>
      <x:c r="J9" s="75" t="n">
        <x:v>1702</x:v>
      </x:c>
      <x:c r="K9" s="75" t="n">
        <x:f>ROUND(J9/SUM($J$8:$J$15)*100,2)</x:f>
        <x:v>34.36</x:v>
      </x:c>
      <x:c r="L9" s="16" t="str">
        <x:v>미기입</x:v>
      </x:c>
      <x:c r="M9" s="17" t="str"/>
    </x:row>
    <x:row r="10">
      <x:c r="E10" s="15" t="str">
        <x:v>박력분</x:v>
      </x:c>
      <x:c r="F10" s="16" t="str">
        <x:v>Cake flour</x:v>
      </x:c>
      <x:c r="G10" s="16" t="n">
        <x:v>34</x:v>
      </x:c>
      <x:c r="H10" s="16" t="str">
        <x:v>g</x:v>
      </x:c>
      <x:c r="I10" s="16" t="n">
        <x:v>2.5</x:v>
      </x:c>
      <x:c r="J10" s="75" t="n">
        <x:v>85</x:v>
      </x:c>
      <x:c r="K10" s="75" t="n">
        <x:f>ROUND(J10/SUM($J$8:$J$15)*100,2)</x:f>
        <x:v>1.72</x:v>
      </x:c>
      <x:c r="L10" s="16" t="str">
        <x:v>MKT-ING</x:v>
      </x:c>
      <x:c r="M10" s="17" t="str">
        <x:v>가격변동</x:v>
      </x:c>
    </x:row>
    <x:row r="11">
      <x:c r="E11" s="15" t="str">
        <x:v>슈가파우더</x:v>
      </x:c>
      <x:c r="F11" s="16" t="str">
        <x:v>Powdered sugar</x:v>
      </x:c>
      <x:c r="G11" s="16" t="n">
        <x:v>103</x:v>
      </x:c>
      <x:c r="H11" s="16" t="str">
        <x:v>g</x:v>
      </x:c>
      <x:c r="I11" s="16" t="n">
        <x:v>4.8</x:v>
      </x:c>
      <x:c r="J11" s="75" t="n">
        <x:v>494.4</x:v>
      </x:c>
      <x:c r="K11" s="75" t="n">
        <x:f>ROUND(J11/SUM($J$8:$J$15)*100,2)</x:f>
        <x:v>9.98</x:v>
      </x:c>
      <x:c r="L11" s="16" t="str">
        <x:v>A푸드</x:v>
      </x:c>
      <x:c r="M11" s="17" t="str">
        <x:v>spec?</x:v>
      </x:c>
    </x:row>
    <x:row r="12">
      <x:c r="E12" s="15" t="str">
        <x:v>감태가루</x:v>
      </x:c>
      <x:c r="F12" s="149" t="str">
        <x:v>Gamtae</x:v>
      </x:c>
      <x:c r="G12" s="16" t="n">
        <x:v>6</x:v>
      </x:c>
      <x:c r="H12" s="16" t="str">
        <x:v>g</x:v>
      </x:c>
      <x:c r="I12" s="16" t="n">
        <x:v>49</x:v>
      </x:c>
      <x:c r="J12" s="16" t="n">
        <x:v>294</x:v>
      </x:c>
      <x:c r="K12" s="16" t="n">
        <x:f>ROUND(J12/SUM($J$8:$J$15)*100,2)</x:f>
        <x:v>5.94</x:v>
      </x:c>
      <x:c r="L12" s="16" t="str">
        <x:v>미기입</x:v>
      </x:c>
      <x:c r="M12" s="17" t="str">
        <x:v>LOT주의</x:v>
      </x:c>
    </x:row>
    <x:row r="13">
      <x:c r="E13" s="15" t="str">
        <x:v>조청</x:v>
      </x:c>
      <x:c r="F13" s="149" t="str">
        <x:v>Rice syrup</x:v>
      </x:c>
      <x:c r="G13" s="16" t="n">
        <x:v>12</x:v>
      </x:c>
      <x:c r="H13" s="16" t="str">
        <x:v>g</x:v>
      </x:c>
      <x:c r="I13" s="16" t="n">
        <x:v>13.5</x:v>
      </x:c>
      <x:c r="J13" s="16" t="n">
        <x:v>162</x:v>
      </x:c>
      <x:c r="K13" s="16" t="n">
        <x:f>ROUND(J13/SUM($J$8:$J$15)*100,2)</x:f>
        <x:v>3.27</x:v>
      </x:c>
      <x:c r="L13" s="16" t="str">
        <x:v>미기입</x:v>
      </x:c>
      <x:c r="M13" s="17" t="str">
        <x:v>냉장</x:v>
      </x:c>
    </x:row>
    <x:row r="14">
      <x:c r="E14" s="15" t="str">
        <x:v>흰자</x:v>
      </x:c>
      <x:c r="F14" s="16" t="str">
        <x:v>Egg white</x:v>
      </x:c>
      <x:c r="G14" s="16" t="n">
        <x:v>128</x:v>
      </x:c>
      <x:c r="H14" s="16" t="str">
        <x:v>g</x:v>
      </x:c>
      <x:c r="I14" s="16" t="n">
        <x:v>5.5</x:v>
      </x:c>
      <x:c r="J14" s="16" t="n">
        <x:v>704</x:v>
      </x:c>
      <x:c r="K14" s="16" t="n">
        <x:f>ROUND(J14/SUM($J$8:$J$15)*100,2)</x:f>
        <x:v>14.21</x:v>
      </x:c>
      <x:c r="L14" s="16" t="str">
        <x:v>local</x:v>
      </x:c>
      <x:c r="M14" s="17" t="str"/>
    </x:row>
    <x:row r="15">
      <x:c r="E15" s="18" t="str">
        <x:v>소금</x:v>
      </x:c>
      <x:c r="F15" s="19" t="str">
        <x:v>Salt</x:v>
      </x:c>
      <x:c r="G15" s="19" t="n">
        <x:v>1.3</x:v>
      </x:c>
      <x:c r="H15" s="19" t="str">
        <x:v>g</x:v>
      </x:c>
      <x:c r="I15" s="19" t="n">
        <x:v>1.1</x:v>
      </x:c>
      <x:c r="J15" s="19" t="n">
        <x:v>1.4</x:v>
      </x:c>
      <x:c r="K15" s="19" t="n">
        <x:f>ROUND(J15/SUM($J$8:$J$15)*100,2)</x:f>
        <x:v>0.03</x:v>
      </x:c>
      <x:c r="L15" s="19" t="str">
        <x:v>MKT-ING</x:v>
      </x:c>
      <x:c r="M15" s="20" t="str">
        <x:v>LOT주의</x:v>
      </x:c>
    </x:row>
    <x:row r="18">
      <x:c r="J18" s="12" t="str">
        <x:v>Batch total</x:v>
      </x:c>
      <x:c r="K18" s="14" t="n">
        <x:f>SUM(J8:J15)</x:f>
        <x:v>4953.2</x:v>
      </x:c>
    </x:row>
    <x:row r="19">
      <x:c r="J19" s="15" t="str">
        <x:v>ea cost /12</x:v>
      </x:c>
      <x:c r="K19" s="17" t="n">
        <x:f>ROUND((K18+K20)/12,1)</x:f>
        <x:v>427.8</x:v>
      </x:c>
    </x:row>
    <x:row r="20">
      <x:c r="J20" s="15" t="str">
        <x:v>package</x:v>
      </x:c>
      <x:c r="K20" s="17" t="n">
        <x:v>180</x:v>
      </x:c>
    </x:row>
    <x:row r="21">
      <x:c r="J21" s="18" t="str">
        <x:v>판매가 rough</x:v>
      </x:c>
      <x:c r="K21" s="20" t="n">
        <x:f>ROUND(K19*2.6,-1)</x:f>
        <x:v>1110</x:v>
      </x:c>
    </x:row>
  </x:sheetData>
  <x:mergeCells>
    <x:mergeCell ref="E5:M6"/>
  </x:mergeCells>
  <x:pageMargins left="0.7" right="0.7" top="0.75" bottom="0.75" header="0.3" footer="0.3"/>
  <x:drawing xmlns:r="http://schemas.openxmlformats.org/officeDocument/2006/relationships" r:id="R1f57388a225d421e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180℃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25.1</x:v>
      </x:c>
      <x:c r="E10" s="30" t="n">
        <x:v>1.3</x:v>
      </x:c>
      <x:c r="F10" s="30" t="n">
        <x:v>0.3</x:v>
      </x:c>
      <x:c r="G10" s="30" t="str">
        <x:v>greenish</x:v>
      </x:c>
      <x:c r="H10" s="31" t="str">
        <x:v>향강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46.2</x:v>
      </x:c>
      <x:c r="E11" s="33" t="n">
        <x:v>4</x:v>
      </x:c>
      <x:c r="F11" s="33" t="n">
        <x:v>2.9</x:v>
      </x:c>
      <x:c r="G11" s="33" t="str">
        <x:v>brown</x:v>
      </x:c>
      <x:c r="H11" s="34" t="str">
        <x:v>사진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68.1</x:v>
      </x:c>
      <x:c r="E12" s="33" t="n">
        <x:v>6.7</x:v>
      </x:c>
      <x:c r="F12" s="33" t="n">
        <x:v>6.1</x:v>
      </x:c>
      <x:c r="G12" s="33" t="str">
        <x:v>gold</x:v>
      </x:c>
      <x:c r="H12" s="34" t="str">
        <x:v>사진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88.7</x:v>
      </x:c>
      <x:c r="E13" s="33" t="n">
        <x:v>9.7</x:v>
      </x:c>
      <x:c r="F13" s="33" t="n">
        <x:v>9.1</x:v>
      </x:c>
      <x:c r="G13" s="33" t="str">
        <x:v>gold</x:v>
      </x:c>
      <x:c r="H13" s="34" t="str">
        <x:v>OK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99.2</x:v>
      </x:c>
      <x:c r="E14" s="36" t="n">
        <x:v>11</x:v>
      </x:c>
      <x:c r="F14" s="36" t="n">
        <x:v>10.7</x:v>
      </x:c>
      <x:c r="G14" s="36" t="str">
        <x:v>brown</x:v>
      </x:c>
      <x:c r="H14" s="37" t="str">
        <x:v>사진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26.3</x:v>
      </x:c>
      <x:c r="E19" s="30" t="n">
        <x:v>1.5</x:v>
      </x:c>
      <x:c r="F19" s="30" t="n">
        <x:v>0</x:v>
      </x:c>
      <x:c r="G19" s="30" t="str">
        <x:v>brown</x:v>
      </x:c>
      <x:c r="H19" s="31" t="str">
        <x:v>OK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46.7</x:v>
      </x:c>
      <x:c r="E20" s="33" t="n">
        <x:v>4.6</x:v>
      </x:c>
      <x:c r="F20" s="33" t="n">
        <x:v>3.3</x:v>
      </x:c>
      <x:c r="G20" s="33" t="str">
        <x:v>gold</x:v>
      </x:c>
      <x:c r="H20" s="34" t="str">
        <x:v>사진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67.9</x:v>
      </x:c>
      <x:c r="E21" s="33" t="n">
        <x:v>7.3</x:v>
      </x:c>
      <x:c r="F21" s="33" t="n">
        <x:v>6</x:v>
      </x:c>
      <x:c r="G21" s="33" t="str">
        <x:v>greenish</x:v>
      </x:c>
      <x:c r="H21" s="34" t="str">
        <x:v>향강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89.2</x:v>
      </x:c>
      <x:c r="E22" s="33" t="n">
        <x:v>9.8</x:v>
      </x:c>
      <x:c r="F22" s="33" t="n">
        <x:v>9.4</x:v>
      </x:c>
      <x:c r="G22" s="33" t="str">
        <x:v>gold</x:v>
      </x:c>
      <x:c r="H22" s="34" t="str">
        <x:v>사진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11.6</x:v>
      </x:c>
      <x:c r="F23" s="36" t="n">
        <x:v>11.3</x:v>
      </x:c>
      <x:c r="G23" s="36" t="str">
        <x:v>brown</x:v>
      </x:c>
      <x:c r="H23" s="37" t="str">
        <x:v>향↓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26</x:v>
      </x:c>
      <x:c r="E28" s="30" t="n">
        <x:v>2.1</x:v>
      </x:c>
      <x:c r="F28" s="30" t="n">
        <x:v>0.1</x:v>
      </x:c>
      <x:c r="G28" s="30" t="str">
        <x:v>gold</x:v>
      </x:c>
      <x:c r="H28" s="31" t="str">
        <x:v>OK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48.2</x:v>
      </x:c>
      <x:c r="E29" s="33" t="n">
        <x:v>5.3</x:v>
      </x:c>
      <x:c r="F29" s="33" t="n">
        <x:v>3.2</x:v>
      </x:c>
      <x:c r="G29" s="33" t="str">
        <x:v>brown</x:v>
      </x:c>
      <x:c r="H29" s="34" t="str">
        <x:v>사진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68.7</x:v>
      </x:c>
      <x:c r="E30" s="33" t="n">
        <x:v>7.9</x:v>
      </x:c>
      <x:c r="F30" s="33" t="n">
        <x:v>6.5</x:v>
      </x:c>
      <x:c r="G30" s="33" t="str">
        <x:v>greenish</x:v>
      </x:c>
      <x:c r="H30" s="34" t="str">
        <x:v>향강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89.9</x:v>
      </x:c>
      <x:c r="E31" s="33" t="n">
        <x:v>10.7</x:v>
      </x:c>
      <x:c r="F31" s="33" t="n">
        <x:v>9.6</x:v>
      </x:c>
      <x:c r="G31" s="33" t="str">
        <x:v>greenish</x:v>
      </x:c>
      <x:c r="H31" s="34" t="str">
        <x:v>향↓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11.8</x:v>
      </x:c>
      <x:c r="F32" s="36" t="n">
        <x:v>11.2</x:v>
      </x:c>
      <x:c r="G32" s="36" t="str">
        <x:v>gold</x:v>
      </x:c>
      <x:c r="H32" s="37" t="str">
        <x:v>향↓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26.9</x:v>
      </x:c>
      <x:c r="E37" s="30" t="n">
        <x:v>2.4</x:v>
      </x:c>
      <x:c r="F37" s="30" t="n">
        <x:v>0</x:v>
      </x:c>
      <x:c r="G37" s="30" t="str">
        <x:v>greenish</x:v>
      </x:c>
      <x:c r="H37" s="31" t="str">
        <x:v>사진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48.7</x:v>
      </x:c>
      <x:c r="E38" s="33" t="n">
        <x:v>5.1</x:v>
      </x:c>
      <x:c r="F38" s="33" t="n">
        <x:v>3.4</x:v>
      </x:c>
      <x:c r="G38" s="33" t="str">
        <x:v>brown</x:v>
      </x:c>
      <x:c r="H38" s="34" t="str">
        <x:v>향↓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69.7</x:v>
      </x:c>
      <x:c r="E39" s="33" t="n">
        <x:v>8.2</x:v>
      </x:c>
      <x:c r="F39" s="33" t="n">
        <x:v>6.1</x:v>
      </x:c>
      <x:c r="G39" s="33" t="str">
        <x:v>brown</x:v>
      </x:c>
      <x:c r="H39" s="34" t="str">
        <x:v>향강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91.5</x:v>
      </x:c>
      <x:c r="E40" s="33" t="n">
        <x:v>10.8</x:v>
      </x:c>
      <x:c r="F40" s="33" t="n">
        <x:v>9.6</x:v>
      </x:c>
      <x:c r="G40" s="33" t="str">
        <x:v>gold</x:v>
      </x:c>
      <x:c r="H40" s="34" t="str">
        <x:v>사진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12.1</x:v>
      </x:c>
      <x:c r="F41" s="36" t="n">
        <x:v>11</x:v>
      </x:c>
      <x:c r="G41" s="36" t="str">
        <x:v>gold</x:v>
      </x:c>
      <x:c r="H41" s="37" t="str">
        <x:v>향↓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  <x:drawing xmlns:r="http://schemas.openxmlformats.org/officeDocument/2006/relationships" r:id="Raf415db2ba4345e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185℃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26.9</x:v>
      </x:c>
      <x:c r="E10" s="30" t="n">
        <x:v>1.6</x:v>
      </x:c>
      <x:c r="F10" s="30" t="n">
        <x:v>0.4</x:v>
      </x:c>
      <x:c r="G10" s="30" t="str">
        <x:v>greenish</x:v>
      </x:c>
      <x:c r="H10" s="31" t="str">
        <x:v>향↓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47.4</x:v>
      </x:c>
      <x:c r="E11" s="33" t="n">
        <x:v>4.1</x:v>
      </x:c>
      <x:c r="F11" s="33" t="n">
        <x:v>3.4</x:v>
      </x:c>
      <x:c r="G11" s="33" t="str">
        <x:v>brown</x:v>
      </x:c>
      <x:c r="H11" s="34" t="str">
        <x:v>OK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68.4</x:v>
      </x:c>
      <x:c r="E12" s="33" t="n">
        <x:v>6.8</x:v>
      </x:c>
      <x:c r="F12" s="33" t="n">
        <x:v>6.2</x:v>
      </x:c>
      <x:c r="G12" s="33" t="str">
        <x:v>gold</x:v>
      </x:c>
      <x:c r="H12" s="34" t="str">
        <x:v>향↓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90.6</x:v>
      </x:c>
      <x:c r="E13" s="33" t="n">
        <x:v>9.9</x:v>
      </x:c>
      <x:c r="F13" s="33" t="n">
        <x:v>9.9</x:v>
      </x:c>
      <x:c r="G13" s="33" t="str">
        <x:v>greenish</x:v>
      </x:c>
      <x:c r="H13" s="34" t="str">
        <x:v>OK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99.4</x:v>
      </x:c>
      <x:c r="E14" s="36" t="n">
        <x:v>11.3</x:v>
      </x:c>
      <x:c r="F14" s="36" t="n">
        <x:v>11.1</x:v>
      </x:c>
      <x:c r="G14" s="36" t="str">
        <x:v>gold</x:v>
      </x:c>
      <x:c r="H14" s="37" t="str">
        <x:v>OK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26.6</x:v>
      </x:c>
      <x:c r="E19" s="30" t="n">
        <x:v>2.2</x:v>
      </x:c>
      <x:c r="F19" s="30" t="n">
        <x:v>0.4</x:v>
      </x:c>
      <x:c r="G19" s="30" t="str">
        <x:v>brown</x:v>
      </x:c>
      <x:c r="H19" s="31" t="str">
        <x:v>향↓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47.8</x:v>
      </x:c>
      <x:c r="E20" s="33" t="n">
        <x:v>4.6</x:v>
      </x:c>
      <x:c r="F20" s="33" t="n">
        <x:v>3</x:v>
      </x:c>
      <x:c r="G20" s="33" t="str">
        <x:v>brown</x:v>
      </x:c>
      <x:c r="H20" s="34" t="str">
        <x:v>향↓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69.7</x:v>
      </x:c>
      <x:c r="E21" s="33" t="n">
        <x:v>7.8</x:v>
      </x:c>
      <x:c r="F21" s="33" t="n">
        <x:v>6.5</x:v>
      </x:c>
      <x:c r="G21" s="33" t="str">
        <x:v>greenish</x:v>
      </x:c>
      <x:c r="H21" s="34" t="str">
        <x:v>OK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91</x:v>
      </x:c>
      <x:c r="E22" s="33" t="n">
        <x:v>10</x:v>
      </x:c>
      <x:c r="F22" s="33" t="n">
        <x:v>9.8</x:v>
      </x:c>
      <x:c r="G22" s="33" t="str">
        <x:v>greenish</x:v>
      </x:c>
      <x:c r="H22" s="34" t="str">
        <x:v>사진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11.6</x:v>
      </x:c>
      <x:c r="F23" s="36" t="n">
        <x:v>11.5</x:v>
      </x:c>
      <x:c r="G23" s="36" t="str">
        <x:v>gold</x:v>
      </x:c>
      <x:c r="H23" s="37" t="str">
        <x:v>향강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26.8</x:v>
      </x:c>
      <x:c r="E28" s="30" t="n">
        <x:v>2.6</x:v>
      </x:c>
      <x:c r="F28" s="30" t="n">
        <x:v>0.2</x:v>
      </x:c>
      <x:c r="G28" s="30" t="str">
        <x:v>greenish</x:v>
      </x:c>
      <x:c r="H28" s="31" t="str">
        <x:v>향↓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48.6</x:v>
      </x:c>
      <x:c r="E29" s="33" t="n">
        <x:v>5.2</x:v>
      </x:c>
      <x:c r="F29" s="33" t="n">
        <x:v>3.5</x:v>
      </x:c>
      <x:c r="G29" s="33" t="str">
        <x:v>greenish</x:v>
      </x:c>
      <x:c r="H29" s="34" t="str">
        <x:v>향강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69.5</x:v>
      </x:c>
      <x:c r="E30" s="33" t="n">
        <x:v>7.8</x:v>
      </x:c>
      <x:c r="F30" s="33" t="n">
        <x:v>6.3</x:v>
      </x:c>
      <x:c r="G30" s="33" t="str">
        <x:v>gold</x:v>
      </x:c>
      <x:c r="H30" s="34" t="str">
        <x:v>향↓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91.5</x:v>
      </x:c>
      <x:c r="E31" s="33" t="n">
        <x:v>11</x:v>
      </x:c>
      <x:c r="F31" s="33" t="n">
        <x:v>9.3</x:v>
      </x:c>
      <x:c r="G31" s="33" t="str">
        <x:v>gold</x:v>
      </x:c>
      <x:c r="H31" s="34" t="str">
        <x:v>OK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12</x:v>
      </x:c>
      <x:c r="F32" s="36" t="n">
        <x:v>11.3</x:v>
      </x:c>
      <x:c r="G32" s="36" t="str">
        <x:v>greenish</x:v>
      </x:c>
      <x:c r="H32" s="37" t="str">
        <x:v>OK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27.4</x:v>
      </x:c>
      <x:c r="E37" s="30" t="n">
        <x:v>2.7</x:v>
      </x:c>
      <x:c r="F37" s="30" t="n">
        <x:v>0.1</x:v>
      </x:c>
      <x:c r="G37" s="30" t="str">
        <x:v>greenish</x:v>
      </x:c>
      <x:c r="H37" s="31" t="str">
        <x:v>OK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49.1</x:v>
      </x:c>
      <x:c r="E38" s="33" t="n">
        <x:v>5.4</x:v>
      </x:c>
      <x:c r="F38" s="33" t="n">
        <x:v>3.4</x:v>
      </x:c>
      <x:c r="G38" s="33" t="str">
        <x:v>brown</x:v>
      </x:c>
      <x:c r="H38" s="34" t="str">
        <x:v>향강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70.4</x:v>
      </x:c>
      <x:c r="E39" s="33" t="n">
        <x:v>8.2</x:v>
      </x:c>
      <x:c r="F39" s="33" t="n">
        <x:v>6.3</x:v>
      </x:c>
      <x:c r="G39" s="33" t="str">
        <x:v>gold</x:v>
      </x:c>
      <x:c r="H39" s="34" t="str">
        <x:v>OK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92.2</x:v>
      </x:c>
      <x:c r="E40" s="33" t="n">
        <x:v>10.7</x:v>
      </x:c>
      <x:c r="F40" s="33" t="n">
        <x:v>9.4</x:v>
      </x:c>
      <x:c r="G40" s="33" t="str">
        <x:v>greenish</x:v>
      </x:c>
      <x:c r="H40" s="34" t="str">
        <x:v>향↓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12.6</x:v>
      </x:c>
      <x:c r="F41" s="36" t="n">
        <x:v>11.3</x:v>
      </x:c>
      <x:c r="G41" s="36" t="str">
        <x:v>brown</x:v>
      </x:c>
      <x:c r="H41" s="37" t="str">
        <x:v>OK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190℃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27.8</x:v>
      </x:c>
      <x:c r="E10" s="30" t="n">
        <x:v>1.9</x:v>
      </x:c>
      <x:c r="F10" s="30" t="n">
        <x:v>0.5</x:v>
      </x:c>
      <x:c r="G10" s="30" t="str">
        <x:v>brown</x:v>
      </x:c>
      <x:c r="H10" s="31" t="str">
        <x:v>OK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48.6</x:v>
      </x:c>
      <x:c r="E11" s="33" t="n">
        <x:v>4.8</x:v>
      </x:c>
      <x:c r="F11" s="33" t="n">
        <x:v>3.4</x:v>
      </x:c>
      <x:c r="G11" s="33" t="str">
        <x:v>gold</x:v>
      </x:c>
      <x:c r="H11" s="34" t="str">
        <x:v>사진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70.5</x:v>
      </x:c>
      <x:c r="E12" s="33" t="n">
        <x:v>7.1</x:v>
      </x:c>
      <x:c r="F12" s="33" t="n">
        <x:v>6.8</x:v>
      </x:c>
      <x:c r="G12" s="33" t="str">
        <x:v>brown</x:v>
      </x:c>
      <x:c r="H12" s="34" t="str">
        <x:v>사진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91.2</x:v>
      </x:c>
      <x:c r="E13" s="33" t="n">
        <x:v>9.9</x:v>
      </x:c>
      <x:c r="F13" s="33" t="n">
        <x:v>9.9</x:v>
      </x:c>
      <x:c r="G13" s="33" t="str">
        <x:v>brown</x:v>
      </x:c>
      <x:c r="H13" s="34" t="str">
        <x:v>사진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99.4</x:v>
      </x:c>
      <x:c r="E14" s="36" t="n">
        <x:v>11.2</x:v>
      </x:c>
      <x:c r="F14" s="36" t="n">
        <x:v>11.2</x:v>
      </x:c>
      <x:c r="G14" s="36" t="str">
        <x:v>gold</x:v>
      </x:c>
      <x:c r="H14" s="37" t="str">
        <x:v>향↓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28.2</x:v>
      </x:c>
      <x:c r="E19" s="30" t="n">
        <x:v>2.5</x:v>
      </x:c>
      <x:c r="F19" s="30" t="n">
        <x:v>0.3</x:v>
      </x:c>
      <x:c r="G19" s="30" t="str">
        <x:v>gold</x:v>
      </x:c>
      <x:c r="H19" s="31" t="str">
        <x:v>사진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48.5</x:v>
      </x:c>
      <x:c r="E20" s="33" t="n">
        <x:v>5.1</x:v>
      </x:c>
      <x:c r="F20" s="33" t="n">
        <x:v>3.5</x:v>
      </x:c>
      <x:c r="G20" s="33" t="str">
        <x:v>gold</x:v>
      </x:c>
      <x:c r="H20" s="34" t="str">
        <x:v>향강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70</x:v>
      </x:c>
      <x:c r="E21" s="33" t="n">
        <x:v>7.7</x:v>
      </x:c>
      <x:c r="F21" s="33" t="n">
        <x:v>6.7</x:v>
      </x:c>
      <x:c r="G21" s="33" t="str">
        <x:v>gold</x:v>
      </x:c>
      <x:c r="H21" s="34" t="str">
        <x:v>향↓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91.6</x:v>
      </x:c>
      <x:c r="E22" s="33" t="n">
        <x:v>10.7</x:v>
      </x:c>
      <x:c r="F22" s="33" t="n">
        <x:v>9.9</x:v>
      </x:c>
      <x:c r="G22" s="33" t="str">
        <x:v>greenish</x:v>
      </x:c>
      <x:c r="H22" s="34" t="str">
        <x:v>향↓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11.8</x:v>
      </x:c>
      <x:c r="F23" s="36" t="n">
        <x:v>11.2</x:v>
      </x:c>
      <x:c r="G23" s="36" t="str">
        <x:v>greenish</x:v>
      </x:c>
      <x:c r="H23" s="37" t="str">
        <x:v>OK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27.8</x:v>
      </x:c>
      <x:c r="E28" s="30" t="n">
        <x:v>2.5</x:v>
      </x:c>
      <x:c r="F28" s="30" t="n">
        <x:v>0.2</x:v>
      </x:c>
      <x:c r="G28" s="30" t="str">
        <x:v>gold</x:v>
      </x:c>
      <x:c r="H28" s="31" t="str">
        <x:v>OK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50.1</x:v>
      </x:c>
      <x:c r="E29" s="33" t="n">
        <x:v>5.1</x:v>
      </x:c>
      <x:c r="F29" s="33" t="n">
        <x:v>3.3</x:v>
      </x:c>
      <x:c r="G29" s="33" t="str">
        <x:v>brown</x:v>
      </x:c>
      <x:c r="H29" s="34" t="str">
        <x:v>사진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70.5</x:v>
      </x:c>
      <x:c r="E30" s="33" t="n">
        <x:v>8.3</x:v>
      </x:c>
      <x:c r="F30" s="33" t="n">
        <x:v>7</x:v>
      </x:c>
      <x:c r="G30" s="33" t="str">
        <x:v>gold</x:v>
      </x:c>
      <x:c r="H30" s="34" t="str">
        <x:v>향↓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92</x:v>
      </x:c>
      <x:c r="E31" s="33" t="n">
        <x:v>11.1</x:v>
      </x:c>
      <x:c r="F31" s="33" t="n">
        <x:v>9.8</x:v>
      </x:c>
      <x:c r="G31" s="33" t="str">
        <x:v>greenish</x:v>
      </x:c>
      <x:c r="H31" s="34" t="str">
        <x:v>사진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12.3</x:v>
      </x:c>
      <x:c r="F32" s="36" t="n">
        <x:v>11.6</x:v>
      </x:c>
      <x:c r="G32" s="36" t="str">
        <x:v>brown</x:v>
      </x:c>
      <x:c r="H32" s="37" t="str">
        <x:v>향↓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28.4</x:v>
      </x:c>
      <x:c r="E37" s="30" t="n">
        <x:v>3</x:v>
      </x:c>
      <x:c r="F37" s="30" t="n">
        <x:v>0.2</x:v>
      </x:c>
      <x:c r="G37" s="30" t="str">
        <x:v>brown</x:v>
      </x:c>
      <x:c r="H37" s="31" t="str">
        <x:v>향↓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49.8</x:v>
      </x:c>
      <x:c r="E38" s="33" t="n">
        <x:v>5.5</x:v>
      </x:c>
      <x:c r="F38" s="33" t="n">
        <x:v>3.7</x:v>
      </x:c>
      <x:c r="G38" s="33" t="str">
        <x:v>gold</x:v>
      </x:c>
      <x:c r="H38" s="34" t="str">
        <x:v>향강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71.9</x:v>
      </x:c>
      <x:c r="E39" s="33" t="n">
        <x:v>8.7</x:v>
      </x:c>
      <x:c r="F39" s="33" t="n">
        <x:v>7</x:v>
      </x:c>
      <x:c r="G39" s="33" t="str">
        <x:v>gold</x:v>
      </x:c>
      <x:c r="H39" s="34" t="str">
        <x:v>향강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93.2</x:v>
      </x:c>
      <x:c r="E40" s="33" t="n">
        <x:v>11.5</x:v>
      </x:c>
      <x:c r="F40" s="33" t="n">
        <x:v>9.6</x:v>
      </x:c>
      <x:c r="G40" s="33" t="str">
        <x:v>gold</x:v>
      </x:c>
      <x:c r="H40" s="34" t="str">
        <x:v>OK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12.4</x:v>
      </x:c>
      <x:c r="F41" s="36" t="n">
        <x:v>11.6</x:v>
      </x:c>
      <x:c r="G41" s="36" t="str">
        <x:v>brown</x:v>
      </x:c>
      <x:c r="H41" s="37" t="str">
        <x:v>OK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  <x:drawing xmlns:r="http://schemas.openxmlformats.org/officeDocument/2006/relationships" r:id="Rcfdddffffa63442b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195℃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27.6</x:v>
      </x:c>
      <x:c r="E10" s="30" t="n">
        <x:v>1.8</x:v>
      </x:c>
      <x:c r="F10" s="30" t="n">
        <x:v>0.6</x:v>
      </x:c>
      <x:c r="G10" s="30" t="str">
        <x:v>gold</x:v>
      </x:c>
      <x:c r="H10" s="31" t="str">
        <x:v>사진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49.5</x:v>
      </x:c>
      <x:c r="E11" s="33" t="n">
        <x:v>4.5</x:v>
      </x:c>
      <x:c r="F11" s="33" t="n">
        <x:v>3.8</x:v>
      </x:c>
      <x:c r="G11" s="33" t="str">
        <x:v>brown</x:v>
      </x:c>
      <x:c r="H11" s="34" t="str">
        <x:v>사진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70.6</x:v>
      </x:c>
      <x:c r="E12" s="33" t="n">
        <x:v>7.2</x:v>
      </x:c>
      <x:c r="F12" s="33" t="n">
        <x:v>6.6</x:v>
      </x:c>
      <x:c r="G12" s="33" t="str">
        <x:v>brown</x:v>
      </x:c>
      <x:c r="H12" s="34" t="str">
        <x:v>OK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92</x:v>
      </x:c>
      <x:c r="E13" s="33" t="n">
        <x:v>10</x:v>
      </x:c>
      <x:c r="F13" s="33" t="n">
        <x:v>9.7</x:v>
      </x:c>
      <x:c r="G13" s="33" t="str">
        <x:v>brown</x:v>
      </x:c>
      <x:c r="H13" s="34" t="str">
        <x:v>향↓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99.4</x:v>
      </x:c>
      <x:c r="E14" s="36" t="n">
        <x:v>11.5</x:v>
      </x:c>
      <x:c r="F14" s="36" t="n">
        <x:v>11.4</x:v>
      </x:c>
      <x:c r="G14" s="36" t="str">
        <x:v>greenish</x:v>
      </x:c>
      <x:c r="H14" s="37" t="str">
        <x:v>OK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29</x:v>
      </x:c>
      <x:c r="E19" s="30" t="n">
        <x:v>2.5</x:v>
      </x:c>
      <x:c r="F19" s="30" t="n">
        <x:v>0.3</x:v>
      </x:c>
      <x:c r="G19" s="30" t="str">
        <x:v>greenish</x:v>
      </x:c>
      <x:c r="H19" s="31" t="str">
        <x:v>향강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49.8</x:v>
      </x:c>
      <x:c r="E20" s="33" t="n">
        <x:v>5</x:v>
      </x:c>
      <x:c r="F20" s="33" t="n">
        <x:v>3.8</x:v>
      </x:c>
      <x:c r="G20" s="33" t="str">
        <x:v>brown</x:v>
      </x:c>
      <x:c r="H20" s="34" t="str">
        <x:v>사진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71.7</x:v>
      </x:c>
      <x:c r="E21" s="33" t="n">
        <x:v>7.8</x:v>
      </x:c>
      <x:c r="F21" s="33" t="n">
        <x:v>6.8</x:v>
      </x:c>
      <x:c r="G21" s="33" t="str">
        <x:v>gold</x:v>
      </x:c>
      <x:c r="H21" s="34" t="str">
        <x:v>향강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92.8</x:v>
      </x:c>
      <x:c r="E22" s="33" t="n">
        <x:v>10.3</x:v>
      </x:c>
      <x:c r="F22" s="33" t="n">
        <x:v>10.1</x:v>
      </x:c>
      <x:c r="G22" s="33" t="str">
        <x:v>gold</x:v>
      </x:c>
      <x:c r="H22" s="34" t="str">
        <x:v>사진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12</x:v>
      </x:c>
      <x:c r="F23" s="36" t="n">
        <x:v>11.6</x:v>
      </x:c>
      <x:c r="G23" s="36" t="str">
        <x:v>greenish</x:v>
      </x:c>
      <x:c r="H23" s="37" t="str">
        <x:v>향↓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29.1</x:v>
      </x:c>
      <x:c r="E28" s="30" t="n">
        <x:v>2.8</x:v>
      </x:c>
      <x:c r="F28" s="30" t="n">
        <x:v>0.3</x:v>
      </x:c>
      <x:c r="G28" s="30" t="str">
        <x:v>greenish</x:v>
      </x:c>
      <x:c r="H28" s="31" t="str">
        <x:v>향강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50.5</x:v>
      </x:c>
      <x:c r="E29" s="33" t="n">
        <x:v>5.4</x:v>
      </x:c>
      <x:c r="F29" s="33" t="n">
        <x:v>3.6</x:v>
      </x:c>
      <x:c r="G29" s="33" t="str">
        <x:v>gold</x:v>
      </x:c>
      <x:c r="H29" s="34" t="str">
        <x:v>향강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71.4</x:v>
      </x:c>
      <x:c r="E30" s="33" t="n">
        <x:v>8.4</x:v>
      </x:c>
      <x:c r="F30" s="33" t="n">
        <x:v>6.9</x:v>
      </x:c>
      <x:c r="G30" s="33" t="str">
        <x:v>gold</x:v>
      </x:c>
      <x:c r="H30" s="34" t="str">
        <x:v>향강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94</x:v>
      </x:c>
      <x:c r="E31" s="33" t="n">
        <x:v>11.2</x:v>
      </x:c>
      <x:c r="F31" s="33" t="n">
        <x:v>10</x:v>
      </x:c>
      <x:c r="G31" s="33" t="str">
        <x:v>greenish</x:v>
      </x:c>
      <x:c r="H31" s="34" t="str">
        <x:v>OK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12.1</x:v>
      </x:c>
      <x:c r="F32" s="36" t="n">
        <x:v>11.9</x:v>
      </x:c>
      <x:c r="G32" s="36" t="str">
        <x:v>brown</x:v>
      </x:c>
      <x:c r="H32" s="37" t="str">
        <x:v>향강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29.9</x:v>
      </x:c>
      <x:c r="E37" s="30" t="n">
        <x:v>3.4</x:v>
      </x:c>
      <x:c r="F37" s="30" t="n">
        <x:v>0.6</x:v>
      </x:c>
      <x:c r="G37" s="30" t="str">
        <x:v>greenish</x:v>
      </x:c>
      <x:c r="H37" s="31" t="str">
        <x:v>향↓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51.6</x:v>
      </x:c>
      <x:c r="E38" s="33" t="n">
        <x:v>5.7</x:v>
      </x:c>
      <x:c r="F38" s="33" t="n">
        <x:v>4.1</x:v>
      </x:c>
      <x:c r="G38" s="33" t="str">
        <x:v>gold</x:v>
      </x:c>
      <x:c r="H38" s="34" t="str">
        <x:v>사진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72</x:v>
      </x:c>
      <x:c r="E39" s="33" t="n">
        <x:v>8.8</x:v>
      </x:c>
      <x:c r="F39" s="33" t="n">
        <x:v>7</x:v>
      </x:c>
      <x:c r="G39" s="33" t="str">
        <x:v>brown</x:v>
      </x:c>
      <x:c r="H39" s="34" t="str">
        <x:v>OK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94.1</x:v>
      </x:c>
      <x:c r="E40" s="33" t="n">
        <x:v>11.8</x:v>
      </x:c>
      <x:c r="F40" s="33" t="n">
        <x:v>10.3</x:v>
      </x:c>
      <x:c r="G40" s="33" t="str">
        <x:v>greenish</x:v>
      </x:c>
      <x:c r="H40" s="34" t="str">
        <x:v>향↓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12.7</x:v>
      </x:c>
      <x:c r="F41" s="36" t="n">
        <x:v>11.4</x:v>
      </x:c>
      <x:c r="G41" s="36" t="str">
        <x:v>greenish</x:v>
      </x:c>
      <x:c r="H41" s="37" t="str">
        <x:v>향↓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205℃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29.9</x:v>
      </x:c>
      <x:c r="E10" s="30" t="n">
        <x:v>1.4</x:v>
      </x:c>
      <x:c r="F10" s="30" t="n">
        <x:v>1.3</x:v>
      </x:c>
      <x:c r="G10" s="30" t="str">
        <x:v>gold</x:v>
      </x:c>
      <x:c r="H10" s="31" t="str">
        <x:v>OK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51.1</x:v>
      </x:c>
      <x:c r="E11" s="33" t="n">
        <x:v>4.5</x:v>
      </x:c>
      <x:c r="F11" s="33" t="n">
        <x:v>4</x:v>
      </x:c>
      <x:c r="G11" s="33" t="str">
        <x:v>gold</x:v>
      </x:c>
      <x:c r="H11" s="34" t="str">
        <x:v>향↓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73.3</x:v>
      </x:c>
      <x:c r="E12" s="33" t="n">
        <x:v>7.3</x:v>
      </x:c>
      <x:c r="F12" s="33" t="n">
        <x:v>7.5</x:v>
      </x:c>
      <x:c r="G12" s="33" t="str">
        <x:v>brown</x:v>
      </x:c>
      <x:c r="H12" s="34" t="str">
        <x:v>사진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94.1</x:v>
      </x:c>
      <x:c r="E13" s="33" t="n">
        <x:v>9.7</x:v>
      </x:c>
      <x:c r="F13" s="33" t="n">
        <x:v>10.1</x:v>
      </x:c>
      <x:c r="G13" s="33" t="str">
        <x:v>gold</x:v>
      </x:c>
      <x:c r="H13" s="34" t="str">
        <x:v>향↓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99.4</x:v>
      </x:c>
      <x:c r="E14" s="36" t="n">
        <x:v>11.6</x:v>
      </x:c>
      <x:c r="F14" s="36" t="n">
        <x:v>12</x:v>
      </x:c>
      <x:c r="G14" s="36" t="str">
        <x:v>greenish</x:v>
      </x:c>
      <x:c r="H14" s="37" t="str">
        <x:v>사진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31.3</x:v>
      </x:c>
      <x:c r="E19" s="30" t="n">
        <x:v>1.8</x:v>
      </x:c>
      <x:c r="F19" s="30" t="n">
        <x:v>0.8</x:v>
      </x:c>
      <x:c r="G19" s="30" t="str">
        <x:v>brown</x:v>
      </x:c>
      <x:c r="H19" s="31" t="str">
        <x:v>향↓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52.8</x:v>
      </x:c>
      <x:c r="E20" s="33" t="n">
        <x:v>4.4</x:v>
      </x:c>
      <x:c r="F20" s="33" t="n">
        <x:v>4.3</x:v>
      </x:c>
      <x:c r="G20" s="33" t="str">
        <x:v>brown</x:v>
      </x:c>
      <x:c r="H20" s="34" t="str">
        <x:v>사진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73.1</x:v>
      </x:c>
      <x:c r="E21" s="33" t="n">
        <x:v>7.5</x:v>
      </x:c>
      <x:c r="F21" s="33" t="n">
        <x:v>7.2</x:v>
      </x:c>
      <x:c r="G21" s="33" t="str">
        <x:v>brown</x:v>
      </x:c>
      <x:c r="H21" s="34" t="str">
        <x:v>향↓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94.3</x:v>
      </x:c>
      <x:c r="E22" s="33" t="n">
        <x:v>10.1</x:v>
      </x:c>
      <x:c r="F22" s="33" t="n">
        <x:v>10.3</x:v>
      </x:c>
      <x:c r="G22" s="33" t="str">
        <x:v>greenish</x:v>
      </x:c>
      <x:c r="H22" s="34" t="str">
        <x:v>OK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11.8</x:v>
      </x:c>
      <x:c r="F23" s="36" t="n">
        <x:v>12.2</x:v>
      </x:c>
      <x:c r="G23" s="36" t="str">
        <x:v>brown</x:v>
      </x:c>
      <x:c r="H23" s="37" t="str">
        <x:v>향↓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31.7</x:v>
      </x:c>
      <x:c r="E28" s="30" t="n">
        <x:v>2.7</x:v>
      </x:c>
      <x:c r="F28" s="30" t="n">
        <x:v>1.1</x:v>
      </x:c>
      <x:c r="G28" s="30" t="str">
        <x:v>gold</x:v>
      </x:c>
      <x:c r="H28" s="31" t="str">
        <x:v>향↓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52.4</x:v>
      </x:c>
      <x:c r="E29" s="33" t="n">
        <x:v>4.9</x:v>
      </x:c>
      <x:c r="F29" s="33" t="n">
        <x:v>3.9</x:v>
      </x:c>
      <x:c r="G29" s="33" t="str">
        <x:v>brown</x:v>
      </x:c>
      <x:c r="H29" s="34" t="str">
        <x:v>향↓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73.6</x:v>
      </x:c>
      <x:c r="E30" s="33" t="n">
        <x:v>7.6</x:v>
      </x:c>
      <x:c r="F30" s="33" t="n">
        <x:v>7</x:v>
      </x:c>
      <x:c r="G30" s="33" t="str">
        <x:v>greenish</x:v>
      </x:c>
      <x:c r="H30" s="34" t="str">
        <x:v>OK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95.2</x:v>
      </x:c>
      <x:c r="E31" s="33" t="n">
        <x:v>10.5</x:v>
      </x:c>
      <x:c r="F31" s="33" t="n">
        <x:v>10.1</x:v>
      </x:c>
      <x:c r="G31" s="33" t="str">
        <x:v>greenish</x:v>
      </x:c>
      <x:c r="H31" s="34" t="str">
        <x:v>OK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11.7</x:v>
      </x:c>
      <x:c r="F32" s="36" t="n">
        <x:v>11.7</x:v>
      </x:c>
      <x:c r="G32" s="36" t="str">
        <x:v>brown</x:v>
      </x:c>
      <x:c r="H32" s="37" t="str">
        <x:v>향↓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32.2</x:v>
      </x:c>
      <x:c r="E37" s="30" t="n">
        <x:v>3</x:v>
      </x:c>
      <x:c r="F37" s="30" t="n">
        <x:v>1.2</x:v>
      </x:c>
      <x:c r="G37" s="30" t="str">
        <x:v>gold</x:v>
      </x:c>
      <x:c r="H37" s="31" t="str">
        <x:v>OK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52.9</x:v>
      </x:c>
      <x:c r="E38" s="33" t="n">
        <x:v>5.8</x:v>
      </x:c>
      <x:c r="F38" s="33" t="n">
        <x:v>3.8</x:v>
      </x:c>
      <x:c r="G38" s="33" t="str">
        <x:v>gold</x:v>
      </x:c>
      <x:c r="H38" s="34" t="str">
        <x:v>OK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74.8</x:v>
      </x:c>
      <x:c r="E39" s="33" t="n">
        <x:v>8.4</x:v>
      </x:c>
      <x:c r="F39" s="33" t="n">
        <x:v>7.4</x:v>
      </x:c>
      <x:c r="G39" s="33" t="str">
        <x:v>brown</x:v>
      </x:c>
      <x:c r="H39" s="34" t="str">
        <x:v>사진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95.7</x:v>
      </x:c>
      <x:c r="E40" s="33" t="n">
        <x:v>11.1</x:v>
      </x:c>
      <x:c r="F40" s="33" t="n">
        <x:v>10.2</x:v>
      </x:c>
      <x:c r="G40" s="33" t="str">
        <x:v>gold</x:v>
      </x:c>
      <x:c r="H40" s="34" t="str">
        <x:v>OK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12.3</x:v>
      </x:c>
      <x:c r="F41" s="36" t="n">
        <x:v>11.7</x:v>
      </x:c>
      <x:c r="G41" s="36" t="str">
        <x:v>greenish</x:v>
      </x:c>
      <x:c r="H41" s="37" t="str">
        <x:v>OK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  <x:drawing xmlns:r="http://schemas.openxmlformats.org/officeDocument/2006/relationships" r:id="R0f5ac55e8d1f4187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>
      <x:c r="A1" s="33"/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/>
      <x:c r="B4" s="33"/>
      <x:c r="C4" s="171" t="str">
        <x:v>감태 | 210℃ | block note</x:v>
      </x:c>
      <x:c r="D4" s="172"/>
      <x:c r="E4" s="172"/>
      <x:c r="F4" s="172"/>
      <x:c r="G4" s="172"/>
      <x:c r="H4" s="172"/>
      <x:c r="I4" s="172"/>
      <x:c r="J4" s="172"/>
      <x:c r="K4" s="172"/>
      <x:c r="L4" s="172"/>
      <x:c r="M4" s="172"/>
      <x:c r="N4" s="172"/>
      <x:c r="O4" s="17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/>
      <x:c r="B5" s="33"/>
      <x:c r="C5" s="174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6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/>
      <x:c r="B8" s="33"/>
      <x:c r="C8" s="214" t="str">
        <x:v>부재료: 무첨가 / 무첨가</x:v>
      </x:c>
      <x:c r="D8" s="215"/>
      <x:c r="E8" s="215"/>
      <x:c r="F8" s="215"/>
      <x:c r="G8" s="215"/>
      <x:c r="H8" s="216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58" t="str">
        <x:v>t(min)</x:v>
      </x:c>
      <x:c r="D9" s="59" t="str">
        <x:v>core</x:v>
      </x:c>
      <x:c r="E9" s="59" t="str">
        <x:v>rise</x:v>
      </x:c>
      <x:c r="F9" s="59" t="str">
        <x:v>loss</x:v>
      </x:c>
      <x:c r="G9" s="59" t="str">
        <x:v>surface</x:v>
      </x:c>
      <x:c r="H9" s="60" t="str">
        <x:v>memo</x:v>
      </x:c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29" t="n">
        <x:v>0</x:v>
      </x:c>
      <x:c r="D10" s="30" t="n">
        <x:v>31</x:v>
      </x:c>
      <x:c r="E10" s="30" t="n">
        <x:v>1.1</x:v>
      </x:c>
      <x:c r="F10" s="30" t="n">
        <x:v>1.4</x:v>
      </x:c>
      <x:c r="G10" s="30" t="str">
        <x:v>brown</x:v>
      </x:c>
      <x:c r="H10" s="31" t="str">
        <x:v>사진</x:v>
      </x:c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2" t="n">
        <x:v>6</x:v>
      </x:c>
      <x:c r="D11" s="33" t="n">
        <x:v>52.4</x:v>
      </x:c>
      <x:c r="E11" s="33" t="n">
        <x:v>4.3</x:v>
      </x:c>
      <x:c r="F11" s="33" t="n">
        <x:v>4.7</x:v>
      </x:c>
      <x:c r="G11" s="33" t="str">
        <x:v>brown</x:v>
      </x:c>
      <x:c r="H11" s="34" t="str">
        <x:v>OK</x:v>
      </x:c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2" t="n">
        <x:v>12</x:v>
      </x:c>
      <x:c r="D12" s="33" t="n">
        <x:v>73.7</x:v>
      </x:c>
      <x:c r="E12" s="33" t="n">
        <x:v>6.8</x:v>
      </x:c>
      <x:c r="F12" s="33" t="n">
        <x:v>7.3</x:v>
      </x:c>
      <x:c r="G12" s="33" t="str">
        <x:v>gold</x:v>
      </x:c>
      <x:c r="H12" s="34" t="str">
        <x:v>향강</x:v>
      </x:c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2" t="n">
        <x:v>18</x:v>
      </x:c>
      <x:c r="D13" s="33" t="n">
        <x:v>95.1</x:v>
      </x:c>
      <x:c r="E13" s="33" t="n">
        <x:v>9.4</x:v>
      </x:c>
      <x:c r="F13" s="33" t="n">
        <x:v>10.8</x:v>
      </x:c>
      <x:c r="G13" s="33" t="str">
        <x:v>greenish</x:v>
      </x:c>
      <x:c r="H13" s="34" t="str">
        <x:v>향↓</x:v>
      </x:c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5" t="n">
        <x:v>21</x:v>
      </x:c>
      <x:c r="D14" s="36" t="n">
        <x:v>99.4</x:v>
      </x:c>
      <x:c r="E14" s="36" t="n">
        <x:v>10.9</x:v>
      </x:c>
      <x:c r="F14" s="36" t="n">
        <x:v>12.3</x:v>
      </x:c>
      <x:c r="G14" s="36" t="str">
        <x:v>brown</x:v>
      </x:c>
      <x:c r="H14" s="37" t="str">
        <x:v>향강</x:v>
      </x:c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214" t="str">
        <x:v>부재료: RUM / RUM</x:v>
      </x:c>
      <x:c r="D17" s="215"/>
      <x:c r="E17" s="215"/>
      <x:c r="F17" s="215"/>
      <x:c r="G17" s="215"/>
      <x:c r="H17" s="216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58" t="str">
        <x:v>t(min)</x:v>
      </x:c>
      <x:c r="D18" s="59" t="str">
        <x:v>core</x:v>
      </x:c>
      <x:c r="E18" s="59" t="str">
        <x:v>rise</x:v>
      </x:c>
      <x:c r="F18" s="59" t="str">
        <x:v>loss</x:v>
      </x:c>
      <x:c r="G18" s="59" t="str">
        <x:v>surface</x:v>
      </x:c>
      <x:c r="H18" s="60" t="str">
        <x:v>memo</x:v>
      </x:c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29" t="n">
        <x:v>0</x:v>
      </x:c>
      <x:c r="D19" s="30" t="n">
        <x:v>32.3</x:v>
      </x:c>
      <x:c r="E19" s="30" t="n">
        <x:v>1.6</x:v>
      </x:c>
      <x:c r="F19" s="30" t="n">
        <x:v>1.5</x:v>
      </x:c>
      <x:c r="G19" s="30" t="str">
        <x:v>greenish</x:v>
      </x:c>
      <x:c r="H19" s="31" t="str">
        <x:v>향↓</x:v>
      </x:c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2" t="n">
        <x:v>6</x:v>
      </x:c>
      <x:c r="D20" s="33" t="n">
        <x:v>53</x:v>
      </x:c>
      <x:c r="E20" s="33" t="n">
        <x:v>4.2</x:v>
      </x:c>
      <x:c r="F20" s="33" t="n">
        <x:v>4.2</x:v>
      </x:c>
      <x:c r="G20" s="33" t="str">
        <x:v>greenish</x:v>
      </x:c>
      <x:c r="H20" s="34" t="str">
        <x:v>향↓</x:v>
      </x:c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2" t="n">
        <x:v>12</x:v>
      </x:c>
      <x:c r="D21" s="33" t="n">
        <x:v>74.6</x:v>
      </x:c>
      <x:c r="E21" s="33" t="n">
        <x:v>7.5</x:v>
      </x:c>
      <x:c r="F21" s="33" t="n">
        <x:v>7.5</x:v>
      </x:c>
      <x:c r="G21" s="33" t="str">
        <x:v>gold</x:v>
      </x:c>
      <x:c r="H21" s="34" t="str">
        <x:v>사진</x:v>
      </x:c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2" t="n">
        <x:v>18</x:v>
      </x:c>
      <x:c r="D22" s="33" t="n">
        <x:v>95.7</x:v>
      </x:c>
      <x:c r="E22" s="33" t="n">
        <x:v>10.1</x:v>
      </x:c>
      <x:c r="F22" s="33" t="n">
        <x:v>10.4</x:v>
      </x:c>
      <x:c r="G22" s="33" t="str">
        <x:v>greenish</x:v>
      </x:c>
      <x:c r="H22" s="34" t="str">
        <x:v>향강</x:v>
      </x:c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5" t="n">
        <x:v>21</x:v>
      </x:c>
      <x:c r="D23" s="36" t="n">
        <x:v>99.4</x:v>
      </x:c>
      <x:c r="E23" s="36" t="n">
        <x:v>11.5</x:v>
      </x:c>
      <x:c r="F23" s="36" t="n">
        <x:v>12</x:v>
      </x:c>
      <x:c r="G23" s="36" t="str">
        <x:v>greenish</x:v>
      </x:c>
      <x:c r="H23" s="37" t="str">
        <x:v>향강</x:v>
      </x:c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214" t="str">
        <x:v>부재료: 설탕막 / 설탕막</x:v>
      </x:c>
      <x:c r="D26" s="215"/>
      <x:c r="E26" s="215"/>
      <x:c r="F26" s="215"/>
      <x:c r="G26" s="215"/>
      <x:c r="H26" s="216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58" t="str">
        <x:v>t(min)</x:v>
      </x:c>
      <x:c r="D27" s="59" t="str">
        <x:v>core</x:v>
      </x:c>
      <x:c r="E27" s="59" t="str">
        <x:v>rise</x:v>
      </x:c>
      <x:c r="F27" s="59" t="str">
        <x:v>loss</x:v>
      </x:c>
      <x:c r="G27" s="59" t="str">
        <x:v>surface</x:v>
      </x:c>
      <x:c r="H27" s="60" t="str">
        <x:v>memo</x:v>
      </x:c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29" t="n">
        <x:v>0</x:v>
      </x:c>
      <x:c r="D28" s="30" t="n">
        <x:v>32.1</x:v>
      </x:c>
      <x:c r="E28" s="30" t="n">
        <x:v>2.5</x:v>
      </x:c>
      <x:c r="F28" s="30" t="n">
        <x:v>1.2</x:v>
      </x:c>
      <x:c r="G28" s="30" t="str">
        <x:v>brown</x:v>
      </x:c>
      <x:c r="H28" s="31" t="str">
        <x:v>OK</x:v>
      </x:c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2" t="n">
        <x:v>6</x:v>
      </x:c>
      <x:c r="D29" s="33" t="n">
        <x:v>53.6</x:v>
      </x:c>
      <x:c r="E29" s="33" t="n">
        <x:v>5</x:v>
      </x:c>
      <x:c r="F29" s="33" t="n">
        <x:v>4.2</x:v>
      </x:c>
      <x:c r="G29" s="33" t="str">
        <x:v>gold</x:v>
      </x:c>
      <x:c r="H29" s="34" t="str">
        <x:v>향강</x:v>
      </x:c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2" t="n">
        <x:v>12</x:v>
      </x:c>
      <x:c r="D30" s="33" t="n">
        <x:v>74.5</x:v>
      </x:c>
      <x:c r="E30" s="33" t="n">
        <x:v>7.4</x:v>
      </x:c>
      <x:c r="F30" s="33" t="n">
        <x:v>7.4</x:v>
      </x:c>
      <x:c r="G30" s="33" t="str">
        <x:v>greenish</x:v>
      </x:c>
      <x:c r="H30" s="34" t="str">
        <x:v>OK</x:v>
      </x:c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2" t="n">
        <x:v>18</x:v>
      </x:c>
      <x:c r="D31" s="33" t="n">
        <x:v>96.3</x:v>
      </x:c>
      <x:c r="E31" s="33" t="n">
        <x:v>10.8</x:v>
      </x:c>
      <x:c r="F31" s="33" t="n">
        <x:v>10.4</x:v>
      </x:c>
      <x:c r="G31" s="33" t="str">
        <x:v>brown</x:v>
      </x:c>
      <x:c r="H31" s="34" t="str">
        <x:v>향강</x:v>
      </x:c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5" t="n">
        <x:v>21</x:v>
      </x:c>
      <x:c r="D32" s="36" t="n">
        <x:v>99.4</x:v>
      </x:c>
      <x:c r="E32" s="36" t="n">
        <x:v>12.1</x:v>
      </x:c>
      <x:c r="F32" s="36" t="n">
        <x:v>12.5</x:v>
      </x:c>
      <x:c r="G32" s="36" t="str">
        <x:v>brown</x:v>
      </x:c>
      <x:c r="H32" s="37" t="str">
        <x:v>사진</x:v>
      </x:c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214" t="str">
        <x:v>부재료: 감태 flakes / 감태 FLAKES</x:v>
      </x:c>
      <x:c r="D35" s="215"/>
      <x:c r="E35" s="215"/>
      <x:c r="F35" s="215"/>
      <x:c r="G35" s="215"/>
      <x:c r="H35" s="216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58" t="str">
        <x:v>t(min)</x:v>
      </x:c>
      <x:c r="D36" s="59" t="str">
        <x:v>core</x:v>
      </x:c>
      <x:c r="E36" s="59" t="str">
        <x:v>rise</x:v>
      </x:c>
      <x:c r="F36" s="59" t="str">
        <x:v>loss</x:v>
      </x:c>
      <x:c r="G36" s="59" t="str">
        <x:v>surface</x:v>
      </x:c>
      <x:c r="H36" s="60" t="str">
        <x:v>memo</x:v>
      </x:c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29" t="n">
        <x:v>0</x:v>
      </x:c>
      <x:c r="D37" s="30" t="n">
        <x:v>32.7</x:v>
      </x:c>
      <x:c r="E37" s="30" t="n">
        <x:v>2.8</x:v>
      </x:c>
      <x:c r="F37" s="30" t="n">
        <x:v>0.9</x:v>
      </x:c>
      <x:c r="G37" s="30" t="str">
        <x:v>gold</x:v>
      </x:c>
      <x:c r="H37" s="31" t="str">
        <x:v>향강</x:v>
      </x:c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2" t="n">
        <x:v>6</x:v>
      </x:c>
      <x:c r="D38" s="33" t="n">
        <x:v>53.7</x:v>
      </x:c>
      <x:c r="E38" s="33" t="n">
        <x:v>5.6</x:v>
      </x:c>
      <x:c r="F38" s="33" t="n">
        <x:v>4.6</x:v>
      </x:c>
      <x:c r="G38" s="33" t="str">
        <x:v>gold</x:v>
      </x:c>
      <x:c r="H38" s="34" t="str">
        <x:v>OK</x:v>
      </x:c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2" t="n">
        <x:v>12</x:v>
      </x:c>
      <x:c r="D39" s="33" t="n">
        <x:v>75.6</x:v>
      </x:c>
      <x:c r="E39" s="33" t="n">
        <x:v>8.3</x:v>
      </x:c>
      <x:c r="F39" s="33" t="n">
        <x:v>7.2</x:v>
      </x:c>
      <x:c r="G39" s="33" t="str">
        <x:v>brown</x:v>
      </x:c>
      <x:c r="H39" s="34" t="str">
        <x:v>향강</x:v>
      </x:c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2" t="n">
        <x:v>18</x:v>
      </x:c>
      <x:c r="D40" s="33" t="n">
        <x:v>96.8</x:v>
      </x:c>
      <x:c r="E40" s="33" t="n">
        <x:v>10.7</x:v>
      </x:c>
      <x:c r="F40" s="33" t="n">
        <x:v>10.5</x:v>
      </x:c>
      <x:c r="G40" s="33" t="str">
        <x:v>gold</x:v>
      </x:c>
      <x:c r="H40" s="34" t="str">
        <x:v>향↓</x:v>
      </x:c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5" t="n">
        <x:v>21</x:v>
      </x:c>
      <x:c r="D41" s="36" t="n">
        <x:v>99.4</x:v>
      </x:c>
      <x:c r="E41" s="36" t="n">
        <x:v>12</x:v>
      </x:c>
      <x:c r="F41" s="36" t="n">
        <x:v>12.3</x:v>
      </x:c>
      <x:c r="G41" s="36" t="str">
        <x:v>brown</x:v>
      </x:c>
      <x:c r="H41" s="37" t="str">
        <x:v>사진</x:v>
      </x:c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</x:sheetData>
  <x:mergeCells>
    <x:mergeCell ref="C4:O5"/>
    <x:mergeCell ref="C8:H8"/>
    <x:mergeCell ref="C17:H17"/>
    <x:mergeCell ref="C26:H26"/>
    <x:mergeCell ref="C35:H3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2">
      <x:c r="F2" s="251" t="str">
        <x:v>감태 럼/토핑/코팅 판매율 + 원가상승</x:v>
      </x:c>
      <x:c r="G2" s="252"/>
      <x:c r="H2" s="252"/>
      <x:c r="I2" s="252"/>
      <x:c r="J2" s="252"/>
      <x:c r="K2" s="252"/>
      <x:c r="L2" s="252"/>
      <x:c r="M2" s="252"/>
      <x:c r="N2" s="252"/>
      <x:c r="O2" s="252"/>
      <x:c r="P2" s="253"/>
    </x:row>
    <x:row r="3">
      <x:c r="F3" s="254"/>
      <x:c r="G3" s="255"/>
      <x:c r="H3" s="255"/>
      <x:c r="I3" s="255"/>
      <x:c r="J3" s="255"/>
      <x:c r="K3" s="255"/>
      <x:c r="L3" s="255"/>
      <x:c r="M3" s="255"/>
      <x:c r="N3" s="255"/>
      <x:c r="O3" s="255"/>
      <x:c r="P3" s="256"/>
    </x:row>
    <x:row r="6">
      <x:c r="F6" s="58" t="str">
        <x:v>Option</x:v>
      </x:c>
      <x:c r="G6" s="59" t="str">
        <x:v>add.cost</x:v>
      </x:c>
      <x:c r="H6" s="59" t="str">
        <x:v>base.cost</x:v>
      </x:c>
      <x:c r="I6" s="59" t="str">
        <x:v>↑cost%</x:v>
      </x:c>
      <x:c r="J6" s="59" t="str">
        <x:v>sales%</x:v>
      </x:c>
      <x:c r="K6" s="59" t="str">
        <x:v>repeat.idx</x:v>
      </x:c>
      <x:c r="L6" s="59" t="str">
        <x:v>ticket</x:v>
      </x:c>
      <x:c r="M6" s="59" t="str">
        <x:v>memo</x:v>
      </x:c>
      <x:c r="N6" s="59" t="str">
        <x:v>remark</x:v>
      </x:c>
      <x:c r="O6" s="60" t="str">
        <x:v>flag</x:v>
      </x:c>
    </x:row>
    <x:row r="7">
      <x:c r="F7" s="294" t="str"/>
      <x:c r="G7" s="295" t="str">
        <x:v>₩/ea</x:v>
      </x:c>
      <x:c r="H7" s="295" t="str">
        <x:v>₩/ea</x:v>
      </x:c>
      <x:c r="I7" s="295" t="str">
        <x:v>%</x:v>
      </x:c>
      <x:c r="J7" s="295" t="str">
        <x:v>%</x:v>
      </x:c>
      <x:c r="K7" s="295" t="str">
        <x:v>idx</x:v>
      </x:c>
      <x:c r="L7" s="295" t="str">
        <x:v>₩</x:v>
      </x:c>
      <x:c r="M7" s="295" t="str"/>
      <x:c r="N7" s="295" t="str"/>
      <x:c r="O7" s="296" t="str"/>
    </x:row>
    <x:row r="8">
      <x:c r="F8" s="12" t="str">
        <x:v>기본</x:v>
      </x:c>
      <x:c r="G8" s="13" t="n">
        <x:v>0</x:v>
      </x:c>
      <x:c r="H8" s="13" t="n">
        <x:v>427.8</x:v>
      </x:c>
      <x:c r="I8" s="13" t="n">
        <x:v>0</x:v>
      </x:c>
      <x:c r="J8" s="13" t="n">
        <x:v>67.5</x:v>
      </x:c>
      <x:c r="K8" s="13" t="n">
        <x:v>0.66</x:v>
      </x:c>
      <x:c r="L8" s="13" t="n">
        <x:v>1280</x:v>
      </x:c>
      <x:c r="M8" s="13" t="str">
        <x:v>원가부담</x:v>
      </x:c>
      <x:c r="N8" s="13" t="str">
        <x:v>TOP</x:v>
      </x:c>
      <x:c r="O8" s="14" t="str"/>
    </x:row>
    <x:row r="9">
      <x:c r="F9" s="15" t="str">
        <x:v>럼 추가</x:v>
      </x:c>
      <x:c r="G9" s="16" t="n">
        <x:v>30.2</x:v>
      </x:c>
      <x:c r="H9" s="16" t="n">
        <x:v>427.8</x:v>
      </x:c>
      <x:c r="I9" s="16" t="n">
        <x:v>7.1</x:v>
      </x:c>
      <x:c r="J9" s="16" t="n">
        <x:v>72.4</x:v>
      </x:c>
      <x:c r="K9" s="16" t="n">
        <x:v>0.79</x:v>
      </x:c>
      <x:c r="L9" s="16" t="n">
        <x:v>1270</x:v>
      </x:c>
      <x:c r="M9" s="16" t="str">
        <x:v>재구매?</x:v>
      </x:c>
      <x:c r="N9" s="16" t="str">
        <x:v>sugar</x:v>
      </x:c>
      <x:c r="O9" s="17" t="str"/>
    </x:row>
    <x:row r="10">
      <x:c r="F10" s="15" t="str">
        <x:v>설탕 코팅</x:v>
      </x:c>
      <x:c r="G10" s="16" t="n">
        <x:v>16.8</x:v>
      </x:c>
      <x:c r="H10" s="16" t="n">
        <x:v>427.8</x:v>
      </x:c>
      <x:c r="I10" s="16" t="n">
        <x:v>3.9</x:v>
      </x:c>
      <x:c r="J10" s="16" t="n">
        <x:v>70.9</x:v>
      </x:c>
      <x:c r="K10" s="16" t="n">
        <x:v>0.73</x:v>
      </x:c>
      <x:c r="L10" s="16" t="n">
        <x:v>1070</x:v>
      </x:c>
      <x:c r="M10" s="16" t="str"/>
      <x:c r="N10" s="16" t="str">
        <x:v>TOP</x:v>
      </x:c>
      <x:c r="O10" s="17" t="str"/>
    </x:row>
    <x:row r="11">
      <x:c r="F11" s="15" t="str">
        <x:v>토핑</x:v>
      </x:c>
      <x:c r="G11" s="16" t="n">
        <x:v>35.1</x:v>
      </x:c>
      <x:c r="H11" s="16" t="n">
        <x:v>427.8</x:v>
      </x:c>
      <x:c r="I11" s="16" t="n">
        <x:v>8.2</x:v>
      </x:c>
      <x:c r="J11" s="16" t="n">
        <x:v>77.3</x:v>
      </x:c>
      <x:c r="K11" s="16" t="n">
        <x:v>0.82</x:v>
      </x:c>
      <x:c r="L11" s="16" t="n">
        <x:v>1360</x:v>
      </x:c>
      <x:c r="M11" s="16" t="str">
        <x:v>원가부담</x:v>
      </x:c>
      <x:c r="N11" s="16" t="str">
        <x:v>manual</x:v>
      </x:c>
      <x:c r="O11" s="17" t="str"/>
    </x:row>
    <x:row r="12">
      <x:c r="F12" s="15" t="str">
        <x:v>럼+토핑</x:v>
      </x:c>
      <x:c r="G12" s="16" t="n">
        <x:v>55.9</x:v>
      </x:c>
      <x:c r="H12" s="16" t="n">
        <x:v>427.8</x:v>
      </x:c>
      <x:c r="I12" s="16" t="n">
        <x:v>13.1</x:v>
      </x:c>
      <x:c r="J12" s="16" t="n">
        <x:v>79</x:v>
      </x:c>
      <x:c r="K12" s="16" t="n">
        <x:v>0.81</x:v>
      </x:c>
      <x:c r="L12" s="16" t="n">
        <x:v>1310</x:v>
      </x:c>
      <x:c r="M12" s="16" t="str">
        <x:v>원가부담</x:v>
      </x:c>
      <x:c r="N12" s="16" t="str">
        <x:v>est.</x:v>
      </x:c>
      <x:c r="O12" s="17" t="str">
        <x:v>★</x:v>
      </x:c>
    </x:row>
    <x:row r="13">
      <x:c r="F13" s="18" t="str">
        <x:v>코팅+토핑</x:v>
      </x:c>
      <x:c r="G13" s="19" t="n">
        <x:v>50.9</x:v>
      </x:c>
      <x:c r="H13" s="19" t="n">
        <x:v>427.8</x:v>
      </x:c>
      <x:c r="I13" s="19" t="n">
        <x:v>11.9</x:v>
      </x:c>
      <x:c r="J13" s="19" t="n">
        <x:v>73.1</x:v>
      </x:c>
      <x:c r="K13" s="19" t="n">
        <x:v>0.71</x:v>
      </x:c>
      <x:c r="L13" s="19" t="n">
        <x:v>1320</x:v>
      </x:c>
      <x:c r="M13" s="19" t="str">
        <x:v>선물용</x:v>
      </x:c>
      <x:c r="N13" s="19" t="str">
        <x:v>sugar</x:v>
      </x:c>
      <x:c r="O13" s="20" t="str"/>
    </x:row>
  </x:sheetData>
  <x:mergeCells>
    <x:mergeCell ref="F2:P3"/>
  </x:mergeCells>
  <x:pageMargins left="0.7" right="0.7" top="0.75" bottom="0.75" header="0.3" footer="0.3"/>
  <x:drawing xmlns:r="http://schemas.openxmlformats.org/officeDocument/2006/relationships" r:id="R942b5834a225478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3">
      <x:c r="B3" s="326" t="str">
        <x:v>작업/메모</x:v>
      </x:c>
      <x:c r="C3" s="327" t="str">
        <x:v>감태</x:v>
      </x:c>
      <x:c r="D3" s="327" t="str"/>
      <x:c r="E3" s="327" t="str"/>
      <x:c r="F3" s="327" t="str"/>
      <x:c r="G3" s="327" t="str"/>
      <x:c r="H3" s="328" t="str"/>
    </x:row>
    <x:row r="4">
      <x:c r="B4" s="15" t="str">
        <x:v>TODO</x:v>
      </x:c>
      <x:c r="C4" s="16" t="str">
        <x:v>probe 위치 재확인</x:v>
      </x:c>
      <x:c r="D4" s="16" t="str">
        <x:v>priority</x:v>
      </x:c>
      <x:c r="E4" s="16" t="str">
        <x:v>HIGH</x:v>
      </x:c>
      <x:c r="F4" s="16" t="str"/>
      <x:c r="G4" s="16" t="str"/>
      <x:c r="H4" s="17" t="str"/>
    </x:row>
    <x:row r="5">
      <x:c r="B5" s="15" t="str">
        <x:v>NOTE</x:v>
      </x:c>
      <x:c r="C5" s="16" t="str">
        <x:v>일부 sheet 명 바꾸지 말 것</x:v>
      </x:c>
      <x:c r="D5" s="16" t="str"/>
      <x:c r="E5" s="16" t="str"/>
      <x:c r="F5" s="16" t="str"/>
      <x:c r="G5" s="16" t="str"/>
      <x:c r="H5" s="17" t="str"/>
    </x:row>
    <x:row r="6">
      <x:c r="B6" s="15" t="str">
        <x:v>temp gap</x:v>
      </x:c>
      <x:c r="C6" s="16" t="str">
        <x:v>실험 없는 온도 존재</x:v>
      </x:c>
      <x:c r="D6" s="16" t="str">
        <x:v>reason</x:v>
      </x:c>
      <x:c r="E6" s="16" t="str">
        <x:v>시간부족</x:v>
      </x:c>
      <x:c r="F6" s="16" t="str"/>
      <x:c r="G6" s="16" t="str"/>
      <x:c r="H6" s="17" t="str"/>
    </x:row>
    <x:row r="7">
      <x:c r="B7" s="15" t="str">
        <x:v>data</x:v>
      </x:c>
      <x:c r="C7" s="16" t="str">
        <x:v>사진/수기/수식 혼합</x:v>
      </x:c>
      <x:c r="D7" s="16" t="str"/>
      <x:c r="E7" s="16" t="str"/>
      <x:c r="F7" s="16" t="str"/>
      <x:c r="G7" s="16" t="str"/>
      <x:c r="H7" s="17" t="str"/>
    </x:row>
    <x:row r="8">
      <x:c r="B8" s="15" t="str">
        <x:v>owner</x:v>
      </x:c>
      <x:c r="C8" s="16" t="str">
        <x:v>KIM</x:v>
      </x:c>
      <x:c r="D8" s="16" t="str">
        <x:v>date</x:v>
      </x:c>
      <x:c r="E8" s="16" t="str">
        <x:v>2026-09</x:v>
      </x:c>
      <x:c r="F8" s="16" t="str"/>
      <x:c r="G8" s="16" t="str"/>
      <x:c r="H8" s="17" t="str"/>
    </x:row>
    <x:row r="9">
      <x:c r="B9" s="15" t="str">
        <x:v>!!!</x:v>
      </x:c>
      <x:c r="C9" s="16" t="str">
        <x:v>색상 자체가 정보임</x:v>
      </x:c>
      <x:c r="D9" s="16" t="str"/>
      <x:c r="E9" s="16" t="str"/>
      <x:c r="F9" s="16" t="str"/>
      <x:c r="G9" s="16" t="str"/>
      <x:c r="H9" s="17" t="str"/>
    </x:row>
    <x:row r="10">
      <x:c r="B10" s="18" t="str">
        <x:v>old</x:v>
      </x:c>
      <x:c r="C10" s="19" t="str">
        <x:v>지우지 말 것</x:v>
      </x:c>
      <x:c r="D10" s="19" t="str"/>
      <x:c r="E10" s="19" t="str"/>
      <x:c r="F10" s="19" t="str"/>
      <x:c r="G10" s="19" t="str"/>
      <x:c r="H10" s="20" t="str"/>
    </x:row>
  </x:sheetData>
  <x:pageMargins left="0.7" right="0.7" top="0.75" bottom="0.75" header="0.3" footer="0.3"/>
</x:worksheet>
</file>