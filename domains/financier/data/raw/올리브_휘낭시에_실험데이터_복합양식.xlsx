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원가" sheetId="2" state="visible" r:id="rId2"/>
    <sheet xmlns:r="http://schemas.openxmlformats.org/officeDocument/2006/relationships" name="180" sheetId="3" state="visible" r:id="rId3"/>
    <sheet xmlns:r="http://schemas.openxmlformats.org/officeDocument/2006/relationships" name="185" sheetId="4" state="visible" r:id="rId4"/>
    <sheet xmlns:r="http://schemas.openxmlformats.org/officeDocument/2006/relationships" name="190" sheetId="5" state="visible" r:id="rId5"/>
    <sheet xmlns:r="http://schemas.openxmlformats.org/officeDocument/2006/relationships" name="195" sheetId="6" state="visible" r:id="rId6"/>
    <sheet xmlns:r="http://schemas.openxmlformats.org/officeDocument/2006/relationships" name="200" sheetId="7" state="visible" r:id="rId7"/>
    <sheet xmlns:r="http://schemas.openxmlformats.org/officeDocument/2006/relationships" name="205" sheetId="8" state="visible" r:id="rId8"/>
    <sheet xmlns:r="http://schemas.openxmlformats.org/officeDocument/2006/relationships" name="210" sheetId="9" state="visible" r:id="rId9"/>
    <sheet xmlns:r="http://schemas.openxmlformats.org/officeDocument/2006/relationships" name="판매율_분석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1F1F"/>
      <sz val="12"/>
    </font>
    <font>
      <b val="1"/>
      <sz val="10"/>
    </font>
    <font>
      <b val="1"/>
      <color rgb="00FFFFFF"/>
      <sz val="10"/>
    </font>
    <font>
      <b val="1"/>
      <color rgb="001F1F1F"/>
      <sz val="10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심부 최대온도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'Summary'!$I$8:$I$14</f>
            </numRef>
          </cat>
          <val>
            <numRef>
              <f>'Summary'!$J$8:$J$14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부풀기(mm)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'Summary'!$I$8:$I$14</f>
            </numRef>
          </cat>
          <val>
            <numRef>
              <f>'Summary'!$K$8:$K$14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'180'!$H$8:$H$23</f>
            </numRef>
          </cat>
          <val>
            <numRef>
              <f>'180'!$K$8:$K$23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'185'!$H$8:$H$23</f>
            </numRef>
          </cat>
          <val>
            <numRef>
              <f>'185'!$K$8:$K$23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'190'!$H$8:$H$23</f>
            </numRef>
          </cat>
          <val>
            <numRef>
              <f>'190'!$K$8:$K$23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'195'!$H$8:$H$23</f>
            </numRef>
          </cat>
          <val>
            <numRef>
              <f>'195'!$K$8:$K$23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'200'!$H$8:$H$23</f>
            </numRef>
          </cat>
          <val>
            <numRef>
              <f>'200'!$K$8:$K$23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'205'!$H$8:$H$23</f>
            </numRef>
          </cat>
          <val>
            <numRef>
              <f>'205'!$K$8:$K$23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210℃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'210'!K7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'210'!$H$8:$H$23</f>
            </numRef>
          </cat>
          <val>
            <numRef>
              <f>'210'!$K$8:$K$23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예상 판매율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'판매율_분석'!H7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'판매율_분석'!$D$8:$D$13</f>
            </numRef>
          </cat>
          <val>
            <numRef>
              <f>'판매율_분석'!$H$8:$H$13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원가상승률</a:t>
            </a:r>
          </a:p>
        </rich>
      </tx>
    </title>
    <plotArea>
      <lineChart>
        <grouping val="standard"/>
        <ser>
          <idx val="0"/>
          <order val="0"/>
          <tx>
            <strRef>
              <f>'판매율_분석'!G7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'판매율_분석'!$D$8:$D$13</f>
            </numRef>
          </cat>
          <val>
            <numRef>
              <f>'판매율_분석'!$G$8:$G$13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9.png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3048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2667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11</row>
      <rowOff>0</rowOff>
    </from>
    <ext cx="2857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Q17"/>
  <sheetViews>
    <sheetView showGridLines="1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8" customWidth="1" min="5" max="5"/>
    <col width="16" customWidth="1" min="6" max="6"/>
    <col width="18" customWidth="1" min="7" max="7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D2" s="1" t="inlineStr">
        <is>
          <t>올리브 휘낭시에 종합 Summary / Olive Financier Experimental Summary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5">
      <c r="D5" s="2" t="inlineStr">
        <is>
          <t>실험 개요 / Overview</t>
        </is>
      </c>
      <c r="E5" s="2" t="n"/>
      <c r="F5" s="2" t="n"/>
      <c r="G5" s="2" t="n"/>
      <c r="I5" s="2" t="inlineStr">
        <is>
          <t>핵심 지표 요약 / KPI Table</t>
        </is>
      </c>
      <c r="J5" s="2" t="n"/>
      <c r="K5" s="2" t="n"/>
      <c r="L5" s="2" t="n"/>
      <c r="M5" s="2" t="n"/>
      <c r="N5" s="2" t="n"/>
    </row>
    <row r="6">
      <c r="D6" s="3" t="inlineStr">
        <is>
          <t>레시피명</t>
        </is>
      </c>
      <c r="E6" s="4" t="inlineStr">
        <is>
          <t>올리브</t>
        </is>
      </c>
      <c r="F6" s="3" t="inlineStr">
        <is>
          <t>기준 배치</t>
        </is>
      </c>
      <c r="G6" s="4" t="inlineStr">
        <is>
          <t>1 batch = 약 12ea</t>
        </is>
      </c>
      <c r="I6" s="5" t="inlineStr">
        <is>
          <t>온도(℃)</t>
        </is>
      </c>
      <c r="J6" s="5" t="inlineStr">
        <is>
          <t>평균 심부최대온도(℃)</t>
        </is>
      </c>
      <c r="K6" s="5" t="inlineStr">
        <is>
          <t>평균 부풀기(mm)</t>
        </is>
      </c>
      <c r="L6" s="5" t="inlineStr">
        <is>
          <t>균열발생률(%)</t>
        </is>
      </c>
      <c r="M6" s="5" t="inlineStr">
        <is>
          <t>평균 원가/ea(원)</t>
        </is>
      </c>
      <c r="N6" s="5" t="inlineStr">
        <is>
          <t>메모</t>
        </is>
      </c>
    </row>
    <row r="7">
      <c r="D7" s="3" t="inlineStr">
        <is>
          <t>관찰 기간</t>
        </is>
      </c>
      <c r="E7" s="4" t="inlineStr">
        <is>
          <t>2026-08 ~ 2026-09</t>
        </is>
      </c>
      <c r="F7" s="3" t="inlineStr">
        <is>
          <t>실험 반복</t>
        </is>
      </c>
      <c r="G7" s="4" t="inlineStr">
        <is>
          <t>n = 3 ~ 5</t>
        </is>
      </c>
      <c r="I7" s="6" t="inlineStr">
        <is>
          <t>unit</t>
        </is>
      </c>
      <c r="J7" s="6" t="inlineStr">
        <is>
          <t>°C</t>
        </is>
      </c>
      <c r="K7" s="6" t="inlineStr">
        <is>
          <t>mm</t>
        </is>
      </c>
      <c r="L7" s="6" t="inlineStr">
        <is>
          <t>%</t>
        </is>
      </c>
      <c r="M7" s="6" t="inlineStr">
        <is>
          <t>KRW</t>
        </is>
      </c>
      <c r="N7" s="6" t="inlineStr">
        <is>
          <t>memo</t>
        </is>
      </c>
    </row>
    <row r="8">
      <c r="D8" s="3" t="inlineStr">
        <is>
          <t>주요 변수</t>
        </is>
      </c>
      <c r="E8" s="4" t="inlineStr">
        <is>
          <t>오븐온도 / 부재료 / 토핑 / 코팅</t>
        </is>
      </c>
      <c r="F8" s="3" t="inlineStr">
        <is>
          <t>중요지표</t>
        </is>
      </c>
      <c r="G8" s="4" t="inlineStr">
        <is>
          <t>심부온도, 부풀기, 균열, 판매율</t>
        </is>
      </c>
      <c r="I8" s="7" t="n">
        <v>180</v>
      </c>
      <c r="J8" s="7" t="n">
        <v>91.5</v>
      </c>
      <c r="K8" s="7" t="n">
        <v>9.800000000000001</v>
      </c>
      <c r="L8" s="7" t="n">
        <v>4</v>
      </c>
      <c r="M8" s="7" t="n">
        <v>506.1</v>
      </c>
      <c r="N8" s="7" t="inlineStr">
        <is>
          <t>Slightly pale</t>
        </is>
      </c>
    </row>
    <row r="9">
      <c r="D9" s="3" t="inlineStr">
        <is>
          <t>문서 상태</t>
        </is>
      </c>
      <c r="E9" s="4" t="inlineStr">
        <is>
          <t>Draft + 현장메모 포함</t>
        </is>
      </c>
      <c r="F9" s="3" t="inlineStr">
        <is>
          <t>참고</t>
        </is>
      </c>
      <c r="G9" s="4" t="inlineStr">
        <is>
          <t>일부 수치 hand-written transfer</t>
        </is>
      </c>
      <c r="I9" s="7" t="n">
        <v>185</v>
      </c>
      <c r="J9" s="7" t="n">
        <v>93.7</v>
      </c>
      <c r="K9" s="7" t="n">
        <v>10.3</v>
      </c>
      <c r="L9" s="7" t="n">
        <v>5.4</v>
      </c>
      <c r="M9" s="7" t="n">
        <v>510.9</v>
      </c>
      <c r="N9" s="7" t="inlineStr">
        <is>
          <t>Slightly pale</t>
        </is>
      </c>
    </row>
    <row r="10">
      <c r="D10" s="3" t="inlineStr">
        <is>
          <t>Note</t>
        </is>
      </c>
      <c r="E10" s="4" t="inlineStr">
        <is>
          <t>표가 화면 중앙에 보이도록 배치</t>
        </is>
      </c>
      <c r="F10" s="3" t="inlineStr">
        <is>
          <t>Misc.</t>
        </is>
      </c>
      <c r="G10" s="4" t="inlineStr">
        <is>
          <t>글자색/굵기/배경색 혼합</t>
        </is>
      </c>
      <c r="I10" s="7" t="n">
        <v>190</v>
      </c>
      <c r="J10" s="7" t="n">
        <v>94.5</v>
      </c>
      <c r="K10" s="7" t="n">
        <v>11.1</v>
      </c>
      <c r="L10" s="7" t="n">
        <v>8.300000000000001</v>
      </c>
      <c r="M10" s="7" t="n">
        <v>514.5</v>
      </c>
      <c r="N10" s="7" t="inlineStr">
        <is>
          <t>Best zone</t>
        </is>
      </c>
    </row>
    <row r="11">
      <c r="D11" s="3" t="inlineStr">
        <is>
          <t>비고</t>
        </is>
      </c>
      <c r="E11" s="4" t="inlineStr">
        <is>
          <t>summary는 의도적으로 비정형</t>
        </is>
      </c>
      <c r="F11" s="3" t="inlineStr">
        <is>
          <t>ver.</t>
        </is>
      </c>
      <c r="G11" s="4" t="inlineStr">
        <is>
          <t>R2.4β</t>
        </is>
      </c>
      <c r="I11" s="7" t="n">
        <v>195</v>
      </c>
      <c r="J11" s="7" t="n">
        <v>94.90000000000001</v>
      </c>
      <c r="K11" s="7" t="n">
        <v>11.7</v>
      </c>
      <c r="L11" s="7" t="n">
        <v>13</v>
      </c>
      <c r="M11" s="7" t="n">
        <v>519.1</v>
      </c>
      <c r="N11" s="7" t="inlineStr">
        <is>
          <t>Best zone</t>
        </is>
      </c>
    </row>
    <row r="12">
      <c r="I12" s="7" t="n">
        <v>200</v>
      </c>
      <c r="J12" s="7" t="n">
        <v>96.40000000000001</v>
      </c>
      <c r="K12" s="7" t="n">
        <v>12.3</v>
      </c>
      <c r="L12" s="7" t="n">
        <v>16.6</v>
      </c>
      <c r="M12" s="7" t="n">
        <v>525.4</v>
      </c>
      <c r="N12" s="7" t="inlineStr">
        <is>
          <t>Slightly pale</t>
        </is>
      </c>
    </row>
    <row r="13">
      <c r="I13" s="7" t="n">
        <v>205</v>
      </c>
      <c r="J13" s="7" t="n">
        <v>97.3</v>
      </c>
      <c r="K13" s="7" t="n">
        <v>13</v>
      </c>
      <c r="L13" s="7" t="n">
        <v>19.6</v>
      </c>
      <c r="M13" s="7" t="n">
        <v>530.1</v>
      </c>
      <c r="N13" s="7" t="inlineStr">
        <is>
          <t>Too dark?</t>
        </is>
      </c>
      <c r="O13" s="8" t="inlineStr">
        <is>
          <t>참고 이미지
• 사진 대체용 illustration
• 보고서 본문 삽입 전 샘플
• 실제 촬영본과 다를 수 있음</t>
        </is>
      </c>
      <c r="P13" s="8" t="n"/>
      <c r="Q13" s="8" t="n"/>
    </row>
    <row r="14">
      <c r="D14" s="8" t="inlineStr">
        <is>
          <t>메모 / Notes
- 치즈·초코 계열은 195℃에서 browning 안정적.
- 감태/올리브는 향 손실 확인 필요.
- 일부 값은 현장 기록지를 보고 수기 전사함.
- '부풀기'는 중앙 dome 높이(mm) 기준.</t>
        </is>
      </c>
      <c r="E14" s="8" t="n"/>
      <c r="F14" s="8" t="n"/>
      <c r="G14" s="8" t="n"/>
      <c r="I14" s="7" t="n">
        <v>210</v>
      </c>
      <c r="J14" s="7" t="n">
        <v>98.59999999999999</v>
      </c>
      <c r="K14" s="7" t="n">
        <v>14.7</v>
      </c>
      <c r="L14" s="7" t="n">
        <v>24.6</v>
      </c>
      <c r="M14" s="7" t="n">
        <v>534</v>
      </c>
      <c r="N14" s="7" t="inlineStr">
        <is>
          <t>Too dark?</t>
        </is>
      </c>
      <c r="O14" s="8" t="n"/>
      <c r="P14" s="8" t="n"/>
      <c r="Q14" s="8" t="n"/>
    </row>
    <row r="15">
      <c r="D15" s="8" t="n"/>
      <c r="E15" s="8" t="n"/>
      <c r="F15" s="8" t="n"/>
      <c r="G15" s="8" t="n"/>
      <c r="O15" s="8" t="n"/>
      <c r="P15" s="8" t="n"/>
      <c r="Q15" s="8" t="n"/>
    </row>
    <row r="16">
      <c r="D16" s="8" t="n"/>
      <c r="E16" s="8" t="n"/>
      <c r="F16" s="8" t="n"/>
      <c r="G16" s="8" t="n"/>
      <c r="O16" s="8" t="n"/>
      <c r="P16" s="8" t="n"/>
      <c r="Q16" s="8" t="n"/>
    </row>
    <row r="17">
      <c r="D17" s="8" t="n"/>
      <c r="E17" s="8" t="n"/>
      <c r="F17" s="8" t="n"/>
      <c r="G17" s="8" t="n"/>
      <c r="O17" s="8" t="n"/>
      <c r="P17" s="8" t="n"/>
      <c r="Q17" s="8" t="n"/>
    </row>
  </sheetData>
  <mergeCells count="5">
    <mergeCell ref="D14:G17"/>
    <mergeCell ref="I5:N5"/>
    <mergeCell ref="D2:Q3"/>
    <mergeCell ref="D5:G5"/>
    <mergeCell ref="O13:Q17"/>
  </mergeCells>
  <pageMargins left="0.5" right="0.5" top="0.6" bottom="0.6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K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0" customWidth="1" min="4" max="4"/>
    <col width="10" customWidth="1" min="5" max="5"/>
    <col width="10" customWidth="1" min="6" max="6"/>
    <col width="16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2">
      <c r="C2" s="1" t="inlineStr">
        <is>
          <t>올리브 휘낭시에 원가 Sheet / Cost Breakdown</t>
        </is>
      </c>
      <c r="D2" s="1" t="n"/>
      <c r="E2" s="1" t="n"/>
      <c r="F2" s="1" t="n"/>
      <c r="G2" s="1" t="n"/>
      <c r="H2" s="1" t="n"/>
      <c r="I2" s="1" t="n"/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C5" s="5" t="inlineStr">
        <is>
          <t>재료명(KR)</t>
        </is>
      </c>
      <c r="D5" s="5" t="inlineStr">
        <is>
          <t>Ingredient(EN)</t>
        </is>
      </c>
      <c r="E5" s="5" t="inlineStr">
        <is>
          <t>배합량</t>
        </is>
      </c>
      <c r="F5" s="5" t="inlineStr">
        <is>
          <t>단위</t>
        </is>
      </c>
      <c r="G5" s="5" t="inlineStr">
        <is>
          <t>단가(원/g or ea)</t>
        </is>
      </c>
      <c r="H5" s="5" t="inlineStr">
        <is>
          <t>배치 원가(원)</t>
        </is>
      </c>
      <c r="I5" s="5" t="inlineStr">
        <is>
          <t>비율(%)</t>
        </is>
      </c>
      <c r="J5" s="5" t="inlineStr">
        <is>
          <t>공급처</t>
        </is>
      </c>
      <c r="K5" s="5" t="inlineStr">
        <is>
          <t>메모</t>
        </is>
      </c>
    </row>
    <row r="6">
      <c r="C6" s="6" t="inlineStr">
        <is>
          <t>name</t>
        </is>
      </c>
      <c r="D6" s="6" t="inlineStr">
        <is>
          <t>name</t>
        </is>
      </c>
      <c r="E6" s="6" t="inlineStr">
        <is>
          <t>qty</t>
        </is>
      </c>
      <c r="F6" s="6" t="inlineStr">
        <is>
          <t>unit</t>
        </is>
      </c>
      <c r="G6" s="6" t="inlineStr">
        <is>
          <t>unit price</t>
        </is>
      </c>
      <c r="H6" s="6" t="inlineStr">
        <is>
          <t>cost</t>
        </is>
      </c>
      <c r="I6" s="6" t="inlineStr">
        <is>
          <t>%</t>
        </is>
      </c>
      <c r="J6" s="6" t="inlineStr">
        <is>
          <t>vendor</t>
        </is>
      </c>
      <c r="K6" s="6" t="inlineStr">
        <is>
          <t>memo</t>
        </is>
      </c>
    </row>
    <row r="7">
      <c r="C7" s="7" t="inlineStr">
        <is>
          <t>무염버터</t>
        </is>
      </c>
      <c r="D7" s="7" t="inlineStr">
        <is>
          <t>Unsalted Butter</t>
        </is>
      </c>
      <c r="E7" s="7" t="n">
        <v>108</v>
      </c>
      <c r="F7" s="7" t="inlineStr">
        <is>
          <t>g</t>
        </is>
      </c>
      <c r="G7" s="9" t="n">
        <v>12.8</v>
      </c>
      <c r="H7" s="9" t="n">
        <v>1382.4</v>
      </c>
      <c r="I7" s="7">
        <f>ROUND(H7/SUM($H$7:$H$14)*100,2)</f>
        <v/>
      </c>
      <c r="J7" s="7" t="inlineStr">
        <is>
          <t>Bake&amp;Co</t>
        </is>
      </c>
      <c r="K7" s="7" t="inlineStr">
        <is>
          <t>메모 없음</t>
        </is>
      </c>
    </row>
    <row r="8">
      <c r="C8" s="7" t="inlineStr">
        <is>
          <t>엑스트라버진올리브유</t>
        </is>
      </c>
      <c r="D8" s="7" t="inlineStr">
        <is>
          <t>EVOO</t>
        </is>
      </c>
      <c r="E8" s="7" t="n">
        <v>18</v>
      </c>
      <c r="F8" s="7" t="inlineStr">
        <is>
          <t>g</t>
        </is>
      </c>
      <c r="G8" s="9" t="n">
        <v>20</v>
      </c>
      <c r="H8" s="9" t="n">
        <v>360</v>
      </c>
      <c r="I8" s="7">
        <f>ROUND(H8/SUM($H$7:$H$14)*100,2)</f>
        <v/>
      </c>
      <c r="J8" s="7" t="inlineStr">
        <is>
          <t>A푸드</t>
        </is>
      </c>
      <c r="K8" s="7" t="inlineStr">
        <is>
          <t>냉장보관</t>
        </is>
      </c>
    </row>
    <row r="9">
      <c r="C9" s="7" t="inlineStr">
        <is>
          <t>아몬드파우더</t>
        </is>
      </c>
      <c r="D9" s="7" t="inlineStr">
        <is>
          <t>Almond Powder</t>
        </is>
      </c>
      <c r="E9" s="7" t="n">
        <v>94</v>
      </c>
      <c r="F9" s="7" t="inlineStr">
        <is>
          <t>g</t>
        </is>
      </c>
      <c r="G9" s="9" t="n">
        <v>18.5</v>
      </c>
      <c r="H9" s="9" t="n">
        <v>1739</v>
      </c>
      <c r="I9" s="7">
        <f>ROUND(H9/SUM($H$7:$H$14)*100,2)</f>
        <v/>
      </c>
      <c r="J9" s="7" t="inlineStr">
        <is>
          <t>로컬상회</t>
        </is>
      </c>
      <c r="K9" s="7" t="inlineStr">
        <is>
          <t>환율영향 있음</t>
        </is>
      </c>
    </row>
    <row r="10">
      <c r="C10" s="7" t="inlineStr">
        <is>
          <t>박력분</t>
        </is>
      </c>
      <c r="D10" s="7" t="inlineStr">
        <is>
          <t>Cake Flour</t>
        </is>
      </c>
      <c r="E10" s="7" t="n">
        <v>35</v>
      </c>
      <c r="F10" s="7" t="inlineStr">
        <is>
          <t>g</t>
        </is>
      </c>
      <c r="G10" s="9" t="n">
        <v>2.5</v>
      </c>
      <c r="H10" s="9" t="n">
        <v>87.5</v>
      </c>
      <c r="I10" s="7">
        <f>ROUND(H10/SUM($H$7:$H$14)*100,2)</f>
        <v/>
      </c>
      <c r="J10" s="7" t="inlineStr">
        <is>
          <t>MKT-ING</t>
        </is>
      </c>
      <c r="K10" s="7" t="inlineStr">
        <is>
          <t>lot 변경 가능</t>
        </is>
      </c>
    </row>
    <row r="11">
      <c r="C11" s="7" t="inlineStr">
        <is>
          <t>슈가파우더</t>
        </is>
      </c>
      <c r="D11" s="7" t="inlineStr">
        <is>
          <t>Powdered Sugar</t>
        </is>
      </c>
      <c r="E11" s="7" t="n">
        <v>100</v>
      </c>
      <c r="F11" s="7" t="inlineStr">
        <is>
          <t>g</t>
        </is>
      </c>
      <c r="G11" s="9" t="n">
        <v>4.8</v>
      </c>
      <c r="H11" s="9" t="n">
        <v>480</v>
      </c>
      <c r="I11" s="7">
        <f>ROUND(H11/SUM($H$7:$H$14)*100,2)</f>
        <v/>
      </c>
      <c r="J11" s="7" t="inlineStr">
        <is>
          <t>Bake&amp;Co</t>
        </is>
      </c>
      <c r="K11" s="7" t="inlineStr">
        <is>
          <t>lot 변경 가능</t>
        </is>
      </c>
    </row>
    <row r="12">
      <c r="C12" s="7" t="inlineStr">
        <is>
          <t>올리브절임</t>
        </is>
      </c>
      <c r="D12" s="7" t="inlineStr">
        <is>
          <t>Olive Dice</t>
        </is>
      </c>
      <c r="E12" s="7" t="n">
        <v>16</v>
      </c>
      <c r="F12" s="7" t="inlineStr">
        <is>
          <t>g</t>
        </is>
      </c>
      <c r="G12" s="9" t="n">
        <v>18</v>
      </c>
      <c r="H12" s="9" t="n">
        <v>288</v>
      </c>
      <c r="I12" s="7">
        <f>ROUND(H12/SUM($H$7:$H$14)*100,2)</f>
        <v/>
      </c>
      <c r="J12" s="7" t="inlineStr">
        <is>
          <t>Import Hub</t>
        </is>
      </c>
      <c r="K12" s="7" t="inlineStr">
        <is>
          <t>lot 변경 가능</t>
        </is>
      </c>
    </row>
    <row r="13">
      <c r="C13" s="7" t="inlineStr">
        <is>
          <t>계란흰자</t>
        </is>
      </c>
      <c r="D13" s="7" t="inlineStr">
        <is>
          <t>Egg White</t>
        </is>
      </c>
      <c r="E13" s="7" t="n">
        <v>128</v>
      </c>
      <c r="F13" s="7" t="inlineStr">
        <is>
          <t>g</t>
        </is>
      </c>
      <c r="G13" s="9" t="n">
        <v>5.5</v>
      </c>
      <c r="H13" s="9" t="n">
        <v>704</v>
      </c>
      <c r="I13" s="7">
        <f>ROUND(H13/SUM($H$7:$H$14)*100,2)</f>
        <v/>
      </c>
      <c r="J13" s="7" t="inlineStr">
        <is>
          <t>로컬상회</t>
        </is>
      </c>
      <c r="K13" s="7" t="inlineStr">
        <is>
          <t>lot 변경 가능</t>
        </is>
      </c>
    </row>
    <row r="14">
      <c r="C14" s="7" t="inlineStr">
        <is>
          <t>소금</t>
        </is>
      </c>
      <c r="D14" s="7" t="inlineStr">
        <is>
          <t>Salt</t>
        </is>
      </c>
      <c r="E14" s="7" t="n">
        <v>1.2</v>
      </c>
      <c r="F14" s="7" t="inlineStr">
        <is>
          <t>g</t>
        </is>
      </c>
      <c r="G14" s="9" t="n">
        <v>1.1</v>
      </c>
      <c r="H14" s="9" t="n">
        <v>1.3</v>
      </c>
      <c r="I14" s="7">
        <f>ROUND(H14/SUM($H$7:$H$14)*100,2)</f>
        <v/>
      </c>
      <c r="J14" s="7" t="inlineStr">
        <is>
          <t>Import Hub</t>
        </is>
      </c>
      <c r="K14" s="7" t="inlineStr">
        <is>
          <t>냉장보관</t>
        </is>
      </c>
    </row>
    <row r="15">
      <c r="C15" s="8" t="inlineStr">
        <is>
          <t>원가 메모
• 일부 부재료는 시즌 한정이라 단가 변동 큼
• 감태/올리브 원재료는 lot 차이 영향 있음
• '단가' 칼럼은 g 기준/ea 기준이 혼합</t>
        </is>
      </c>
      <c r="D15" s="8" t="n"/>
      <c r="E15" s="8" t="n"/>
    </row>
    <row r="16">
      <c r="C16" s="8" t="n"/>
      <c r="D16" s="8" t="n"/>
      <c r="E16" s="8" t="n"/>
      <c r="G16" s="10" t="inlineStr">
        <is>
          <t>배치 총원가</t>
        </is>
      </c>
      <c r="H16" s="11">
        <f>SUM(H7:H14)</f>
        <v/>
      </c>
    </row>
    <row r="17">
      <c r="C17" s="8" t="n"/>
      <c r="D17" s="8" t="n"/>
      <c r="E17" s="8" t="n"/>
      <c r="G17" s="10" t="inlineStr">
        <is>
          <t>개당 원가(12ea 기준)</t>
        </is>
      </c>
      <c r="H17" s="11">
        <f>ROUND((H16+H18)/12,1)</f>
        <v/>
      </c>
    </row>
    <row r="18">
      <c r="C18" s="8" t="n"/>
      <c r="D18" s="8" t="n"/>
      <c r="E18" s="8" t="n"/>
      <c r="G18" s="10" t="inlineStr">
        <is>
          <t>포장/라벨 추가</t>
        </is>
      </c>
      <c r="H18" s="11" t="n">
        <v>180</v>
      </c>
    </row>
    <row r="19">
      <c r="G19" s="10" t="inlineStr">
        <is>
          <t>추정 판매가</t>
        </is>
      </c>
      <c r="H19" s="11">
        <f>ROUND(H17*2.65,-1)</f>
        <v/>
      </c>
    </row>
  </sheetData>
  <mergeCells count="2">
    <mergeCell ref="C2:J3"/>
    <mergeCell ref="C15:E18"/>
  </mergeCells>
  <pageMargins left="0.5" right="0.5" top="0.6" bottom="0.6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올리브 / Oven 180℃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올리브</t>
        </is>
      </c>
      <c r="D6" s="3" t="inlineStr">
        <is>
          <t>오븐설정</t>
        </is>
      </c>
      <c r="E6" s="4" t="inlineStr">
        <is>
          <t>180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2026-09-10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26</v>
      </c>
      <c r="L8" s="7" t="n">
        <v>7.1</v>
      </c>
      <c r="M8" s="7" t="inlineStr">
        <is>
          <t>pale</t>
        </is>
      </c>
      <c r="N8" s="7" t="inlineStr">
        <is>
          <t>N</t>
        </is>
      </c>
      <c r="O8" s="7" t="n">
        <v>4.9</v>
      </c>
      <c r="P8" s="7" t="n">
        <v>1</v>
      </c>
      <c r="Q8" s="7" t="inlineStr">
        <is>
          <t>사진 참조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26.2</v>
      </c>
      <c r="L9" s="7" t="n">
        <v>7.8</v>
      </c>
      <c r="M9" s="7" t="inlineStr">
        <is>
          <t>golden</t>
        </is>
      </c>
      <c r="N9" s="7" t="inlineStr">
        <is>
          <t>N</t>
        </is>
      </c>
      <c r="O9" s="7" t="n">
        <v>4.5</v>
      </c>
      <c r="P9" s="7" t="n">
        <v>1</v>
      </c>
      <c r="Q9" s="7" t="inlineStr">
        <is>
          <t>sheet note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25.7</v>
      </c>
      <c r="L10" s="7" t="n">
        <v>7.3</v>
      </c>
      <c r="M10" s="7" t="inlineStr">
        <is>
          <t>pale</t>
        </is>
      </c>
      <c r="N10" s="7" t="inlineStr">
        <is>
          <t>Y</t>
        </is>
      </c>
      <c r="O10" s="7" t="n">
        <v>5</v>
      </c>
      <c r="P10" s="7" t="n">
        <v>1</v>
      </c>
      <c r="Q10" s="7" t="inlineStr">
        <is>
          <t>-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26.5</v>
      </c>
      <c r="L11" s="7" t="n">
        <v>7.2</v>
      </c>
      <c r="M11" s="7" t="inlineStr">
        <is>
          <t>pale</t>
        </is>
      </c>
      <c r="N11" s="7" t="inlineStr">
        <is>
          <t>N</t>
        </is>
      </c>
      <c r="O11" s="7" t="n">
        <v>4.9</v>
      </c>
      <c r="P11" s="7" t="n">
        <v>1</v>
      </c>
      <c r="Q11" s="7" t="inlineStr">
        <is>
          <t>top rise good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37</v>
      </c>
      <c r="L12" s="7" t="n">
        <v>9.300000000000001</v>
      </c>
      <c r="M12" s="7" t="inlineStr">
        <is>
          <t>pale</t>
        </is>
      </c>
      <c r="N12" s="7" t="inlineStr">
        <is>
          <t>N</t>
        </is>
      </c>
      <c r="O12" s="7" t="n">
        <v>4.2</v>
      </c>
      <c r="P12" s="7" t="n">
        <v>1.8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37.3</v>
      </c>
      <c r="L13" s="7" t="n">
        <v>9</v>
      </c>
      <c r="M13" s="7" t="inlineStr">
        <is>
          <t>dark edge</t>
        </is>
      </c>
      <c r="N13" s="7" t="inlineStr">
        <is>
          <t>N</t>
        </is>
      </c>
      <c r="O13" s="7" t="n">
        <v>4.7</v>
      </c>
      <c r="P13" s="7" t="n">
        <v>1.7</v>
      </c>
      <c r="Q13" s="7" t="inlineStr">
        <is>
          <t>edge darker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36.4</v>
      </c>
      <c r="L14" s="7" t="n">
        <v>9.300000000000001</v>
      </c>
      <c r="M14" s="7" t="inlineStr">
        <is>
          <t>golden-brown</t>
        </is>
      </c>
      <c r="N14" s="7" t="inlineStr">
        <is>
          <t>N</t>
        </is>
      </c>
      <c r="O14" s="7" t="n">
        <v>4.7</v>
      </c>
      <c r="P14" s="7" t="n">
        <v>1.7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37.6</v>
      </c>
      <c r="L15" s="7" t="n">
        <v>9.199999999999999</v>
      </c>
      <c r="M15" s="7" t="inlineStr">
        <is>
          <t>golden</t>
        </is>
      </c>
      <c r="N15" s="7" t="inlineStr">
        <is>
          <t>Y</t>
        </is>
      </c>
      <c r="O15" s="7" t="n">
        <v>4.7</v>
      </c>
      <c r="P15" s="7" t="n">
        <v>1.5</v>
      </c>
      <c r="Q15" s="7" t="inlineStr">
        <is>
          <t>-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47.7</v>
      </c>
      <c r="L16" s="7" t="n">
        <v>10</v>
      </c>
      <c r="M16" s="7" t="inlineStr">
        <is>
          <t>dark edge</t>
        </is>
      </c>
      <c r="N16" s="7" t="inlineStr">
        <is>
          <t>Y</t>
        </is>
      </c>
      <c r="O16" s="7" t="n">
        <v>4.4</v>
      </c>
      <c r="P16" s="7" t="n">
        <v>3.3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47.7</v>
      </c>
      <c r="L17" s="7" t="n">
        <v>9.9</v>
      </c>
      <c r="M17" s="7" t="inlineStr">
        <is>
          <t>pale</t>
        </is>
      </c>
      <c r="N17" s="7" t="inlineStr">
        <is>
          <t>N</t>
        </is>
      </c>
      <c r="O17" s="7" t="n">
        <v>4</v>
      </c>
      <c r="P17" s="7" t="n">
        <v>3.2</v>
      </c>
      <c r="Q17" s="7" t="inlineStr">
        <is>
          <t>sheet note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48</v>
      </c>
      <c r="L18" s="7" t="n">
        <v>10.1</v>
      </c>
      <c r="M18" s="7" t="inlineStr">
        <is>
          <t>golden</t>
        </is>
      </c>
      <c r="N18" s="7" t="inlineStr">
        <is>
          <t>Y</t>
        </is>
      </c>
      <c r="O18" s="7" t="n">
        <v>4.2</v>
      </c>
      <c r="P18" s="7" t="n">
        <v>3.5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47.5</v>
      </c>
      <c r="L19" s="7" t="n">
        <v>10.1</v>
      </c>
      <c r="M19" s="7" t="inlineStr">
        <is>
          <t>golden</t>
        </is>
      </c>
      <c r="N19" s="7" t="inlineStr">
        <is>
          <t>N</t>
        </is>
      </c>
      <c r="O19" s="7" t="n">
        <v>4</v>
      </c>
      <c r="P19" s="7" t="n">
        <v>3.4</v>
      </c>
      <c r="Q19" s="7" t="inlineStr">
        <is>
          <t>top rise good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</v>
      </c>
      <c r="L20" s="7" t="n">
        <v>10.5</v>
      </c>
      <c r="M20" s="7" t="inlineStr">
        <is>
          <t>dark edge</t>
        </is>
      </c>
      <c r="N20" s="7" t="inlineStr">
        <is>
          <t>N</t>
        </is>
      </c>
      <c r="O20" s="7" t="n">
        <v>4.3</v>
      </c>
      <c r="P20" s="7" t="n">
        <v>3.6</v>
      </c>
      <c r="Q20" s="7" t="inlineStr">
        <is>
          <t>sheet note</t>
        </is>
      </c>
    </row>
    <row r="21">
      <c r="H21" s="7" t="n"/>
      <c r="I21" s="7" t="n"/>
      <c r="J21" s="7" t="n">
        <v>2</v>
      </c>
      <c r="K21" s="7" t="n">
        <v>47</v>
      </c>
      <c r="L21" s="7" t="n">
        <v>9.9</v>
      </c>
      <c r="M21" s="7" t="inlineStr">
        <is>
          <t>golden-brown</t>
        </is>
      </c>
      <c r="N21" s="7" t="inlineStr">
        <is>
          <t>Y</t>
        </is>
      </c>
      <c r="O21" s="7" t="n">
        <v>4</v>
      </c>
      <c r="P21" s="7" t="n">
        <v>3.7</v>
      </c>
      <c r="Q21" s="7" t="inlineStr">
        <is>
          <t>사진 참조</t>
        </is>
      </c>
    </row>
    <row r="22">
      <c r="H22" s="7" t="n">
        <v>6</v>
      </c>
      <c r="I22" s="7" t="inlineStr">
        <is>
          <t>올리브토핑</t>
        </is>
      </c>
      <c r="J22" s="7" t="n">
        <v>1</v>
      </c>
      <c r="K22" s="7" t="n">
        <v>47.7</v>
      </c>
      <c r="L22" s="7" t="n">
        <v>10</v>
      </c>
      <c r="M22" s="7" t="inlineStr">
        <is>
          <t>golden-brown</t>
        </is>
      </c>
      <c r="N22" s="7" t="inlineStr">
        <is>
          <t>N</t>
        </is>
      </c>
      <c r="O22" s="7" t="n">
        <v>4.1</v>
      </c>
      <c r="P22" s="7" t="n">
        <v>3.7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48.3</v>
      </c>
      <c r="L23" s="7" t="n">
        <v>10.7</v>
      </c>
      <c r="M23" s="7" t="inlineStr">
        <is>
          <t>golden</t>
        </is>
      </c>
      <c r="N23" s="7" t="inlineStr">
        <is>
          <t>N</t>
        </is>
      </c>
      <c r="O23" s="7" t="n">
        <v>4.2</v>
      </c>
      <c r="P23" s="7" t="n">
        <v>3</v>
      </c>
      <c r="Q23" s="7" t="inlineStr">
        <is>
          <t>top rise good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57.9</v>
      </c>
      <c r="L24" s="7" t="n">
        <v>11.4</v>
      </c>
      <c r="M24" s="7" t="inlineStr">
        <is>
          <t>pale</t>
        </is>
      </c>
      <c r="N24" s="7" t="inlineStr">
        <is>
          <t>N</t>
        </is>
      </c>
      <c r="O24" s="7" t="n">
        <v>4</v>
      </c>
      <c r="P24" s="7" t="n">
        <v>5.3</v>
      </c>
      <c r="Q24" s="7" t="inlineStr">
        <is>
          <t>edge darker</t>
        </is>
      </c>
    </row>
    <row r="25">
      <c r="H25" s="7" t="n"/>
      <c r="I25" s="7" t="n"/>
      <c r="J25" s="7" t="n">
        <v>2</v>
      </c>
      <c r="K25" s="7" t="n">
        <v>58.1</v>
      </c>
      <c r="L25" s="7" t="n">
        <v>11.9</v>
      </c>
      <c r="M25" s="7" t="inlineStr">
        <is>
          <t>pale</t>
        </is>
      </c>
      <c r="N25" s="7" t="inlineStr">
        <is>
          <t>Y</t>
        </is>
      </c>
      <c r="O25" s="7" t="n">
        <v>3.5</v>
      </c>
      <c r="P25" s="7" t="n">
        <v>5.2</v>
      </c>
      <c r="Q25" s="7" t="inlineStr">
        <is>
          <t>center moist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58.6</v>
      </c>
      <c r="L26" s="7" t="n">
        <v>11.4</v>
      </c>
      <c r="M26" s="7" t="inlineStr">
        <is>
          <t>dark edge</t>
        </is>
      </c>
      <c r="N26" s="7" t="inlineStr">
        <is>
          <t>N</t>
        </is>
      </c>
      <c r="O26" s="7" t="n">
        <v>3.6</v>
      </c>
      <c r="P26" s="7" t="n">
        <v>5.2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58.8</v>
      </c>
      <c r="L27" s="7" t="n">
        <v>11.7</v>
      </c>
      <c r="M27" s="7" t="inlineStr">
        <is>
          <t>pale</t>
        </is>
      </c>
      <c r="N27" s="7" t="inlineStr">
        <is>
          <t>Y</t>
        </is>
      </c>
      <c r="O27" s="7" t="n">
        <v>3.5</v>
      </c>
      <c r="P27" s="7" t="n">
        <v>5.1</v>
      </c>
      <c r="Q27" s="7" t="inlineStr">
        <is>
          <t>-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69</v>
      </c>
      <c r="L28" s="7" t="n">
        <v>13.1</v>
      </c>
      <c r="M28" s="7" t="inlineStr">
        <is>
          <t>golden-brown</t>
        </is>
      </c>
      <c r="N28" s="7" t="inlineStr">
        <is>
          <t>N</t>
        </is>
      </c>
      <c r="O28" s="7" t="n">
        <v>3.6</v>
      </c>
      <c r="P28" s="7" t="n">
        <v>6.7</v>
      </c>
      <c r="Q28" s="7" t="inlineStr">
        <is>
          <t>-</t>
        </is>
      </c>
    </row>
    <row r="29">
      <c r="H29" s="7" t="n"/>
      <c r="I29" s="7" t="n"/>
      <c r="J29" s="7" t="n">
        <v>2</v>
      </c>
      <c r="K29" s="7" t="n">
        <v>68.7</v>
      </c>
      <c r="L29" s="7" t="n">
        <v>13.6</v>
      </c>
      <c r="M29" s="7" t="inlineStr">
        <is>
          <t>golden</t>
        </is>
      </c>
      <c r="N29" s="7" t="inlineStr">
        <is>
          <t>Y</t>
        </is>
      </c>
      <c r="O29" s="7" t="n">
        <v>3.2</v>
      </c>
      <c r="P29" s="7" t="n">
        <v>6.7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68</v>
      </c>
      <c r="L30" s="7" t="n">
        <v>13.5</v>
      </c>
      <c r="M30" s="7" t="inlineStr">
        <is>
          <t>golden-brown</t>
        </is>
      </c>
      <c r="N30" s="7" t="inlineStr">
        <is>
          <t>Y</t>
        </is>
      </c>
      <c r="O30" s="7" t="n">
        <v>3.3</v>
      </c>
      <c r="P30" s="7" t="n">
        <v>6.5</v>
      </c>
      <c r="Q30" s="7" t="inlineStr">
        <is>
          <t>center moist</t>
        </is>
      </c>
    </row>
    <row r="31">
      <c r="H31" s="7" t="n"/>
      <c r="I31" s="7" t="n"/>
      <c r="J31" s="7" t="n">
        <v>2</v>
      </c>
      <c r="K31" s="7" t="n">
        <v>69.40000000000001</v>
      </c>
      <c r="L31" s="7" t="n">
        <v>12.9</v>
      </c>
      <c r="M31" s="7" t="inlineStr">
        <is>
          <t>golden-brown</t>
        </is>
      </c>
      <c r="N31" s="7" t="inlineStr">
        <is>
          <t>N</t>
        </is>
      </c>
      <c r="O31" s="7" t="n">
        <v>3.6</v>
      </c>
      <c r="P31" s="7" t="n">
        <v>6.8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68.5</v>
      </c>
      <c r="L32" s="7" t="n">
        <v>13.3</v>
      </c>
      <c r="M32" s="7" t="inlineStr">
        <is>
          <t>golden-brown</t>
        </is>
      </c>
      <c r="N32" s="7" t="inlineStr">
        <is>
          <t>Y</t>
        </is>
      </c>
      <c r="O32" s="7" t="n">
        <v>3.4</v>
      </c>
      <c r="P32" s="7" t="n">
        <v>6.2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68.59999999999999</v>
      </c>
      <c r="L33" s="7" t="n">
        <v>12.9</v>
      </c>
      <c r="M33" s="7" t="inlineStr">
        <is>
          <t>pale</t>
        </is>
      </c>
      <c r="N33" s="7" t="inlineStr">
        <is>
          <t>Y</t>
        </is>
      </c>
      <c r="O33" s="7" t="n">
        <v>3.1</v>
      </c>
      <c r="P33" s="7" t="n">
        <v>6.3</v>
      </c>
      <c r="Q33" s="7" t="inlineStr">
        <is>
          <t>top rise good</t>
        </is>
      </c>
    </row>
    <row r="34">
      <c r="H34" s="7" t="n">
        <v>12</v>
      </c>
      <c r="I34" s="7" t="inlineStr">
        <is>
          <t>올리브토핑</t>
        </is>
      </c>
      <c r="J34" s="7" t="n">
        <v>1</v>
      </c>
      <c r="K34" s="7" t="n">
        <v>69.09999999999999</v>
      </c>
      <c r="L34" s="7" t="n">
        <v>13.3</v>
      </c>
      <c r="M34" s="7" t="inlineStr">
        <is>
          <t>golden</t>
        </is>
      </c>
      <c r="N34" s="7" t="inlineStr">
        <is>
          <t>Y</t>
        </is>
      </c>
      <c r="O34" s="7" t="n">
        <v>3.4</v>
      </c>
      <c r="P34" s="7" t="n">
        <v>6.3</v>
      </c>
      <c r="Q34" s="7" t="inlineStr">
        <is>
          <t>sheet note</t>
        </is>
      </c>
    </row>
    <row r="35">
      <c r="H35" s="7" t="n"/>
      <c r="I35" s="7" t="n"/>
      <c r="J35" s="7" t="n">
        <v>2</v>
      </c>
      <c r="K35" s="7" t="n">
        <v>69.3</v>
      </c>
      <c r="L35" s="7" t="n">
        <v>13</v>
      </c>
      <c r="M35" s="7" t="inlineStr">
        <is>
          <t>golden</t>
        </is>
      </c>
      <c r="N35" s="7" t="inlineStr">
        <is>
          <t>Y</t>
        </is>
      </c>
      <c r="O35" s="7" t="n">
        <v>3.7</v>
      </c>
      <c r="P35" s="7" t="n">
        <v>6.9</v>
      </c>
      <c r="Q35" s="7" t="inlineStr">
        <is>
          <t>center moist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78.8</v>
      </c>
      <c r="L36" s="7" t="n">
        <v>14.5</v>
      </c>
      <c r="M36" s="7" t="inlineStr">
        <is>
          <t>golden</t>
        </is>
      </c>
      <c r="N36" s="7" t="inlineStr">
        <is>
          <t>Y</t>
        </is>
      </c>
      <c r="O36" s="7" t="n">
        <v>3.3</v>
      </c>
      <c r="P36" s="7" t="n">
        <v>8.1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79.5</v>
      </c>
      <c r="L37" s="7" t="n">
        <v>14.9</v>
      </c>
      <c r="M37" s="7" t="inlineStr">
        <is>
          <t>golden-brown</t>
        </is>
      </c>
      <c r="N37" s="7" t="inlineStr">
        <is>
          <t>Y</t>
        </is>
      </c>
      <c r="O37" s="7" t="n">
        <v>3.4</v>
      </c>
      <c r="P37" s="7" t="n">
        <v>8.300000000000001</v>
      </c>
      <c r="Q37" s="7" t="inlineStr">
        <is>
          <t>center moist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79.59999999999999</v>
      </c>
      <c r="L38" s="7" t="n">
        <v>14.6</v>
      </c>
      <c r="M38" s="7" t="inlineStr">
        <is>
          <t>golden-brown</t>
        </is>
      </c>
      <c r="N38" s="7" t="inlineStr">
        <is>
          <t>Y</t>
        </is>
      </c>
      <c r="O38" s="7" t="n">
        <v>3</v>
      </c>
      <c r="P38" s="7" t="n">
        <v>8.300000000000001</v>
      </c>
      <c r="Q38" s="7" t="inlineStr">
        <is>
          <t>sheet note</t>
        </is>
      </c>
    </row>
    <row r="39">
      <c r="H39" s="7" t="n"/>
      <c r="I39" s="7" t="n"/>
      <c r="J39" s="7" t="n">
        <v>2</v>
      </c>
      <c r="K39" s="7" t="n">
        <v>80</v>
      </c>
      <c r="L39" s="7" t="n">
        <v>14.6</v>
      </c>
      <c r="M39" s="7" t="inlineStr">
        <is>
          <t>golden</t>
        </is>
      </c>
      <c r="N39" s="7" t="inlineStr">
        <is>
          <t>Y</t>
        </is>
      </c>
      <c r="O39" s="7" t="n">
        <v>3</v>
      </c>
      <c r="P39" s="7" t="n">
        <v>8</v>
      </c>
      <c r="Q39" s="7" t="inlineStr">
        <is>
          <t>-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90</v>
      </c>
      <c r="L40" s="7" t="n">
        <v>16.3</v>
      </c>
      <c r="M40" s="7" t="inlineStr">
        <is>
          <t>golden</t>
        </is>
      </c>
      <c r="N40" s="7" t="inlineStr">
        <is>
          <t>N</t>
        </is>
      </c>
      <c r="O40" s="7" t="n">
        <v>2.7</v>
      </c>
      <c r="P40" s="7" t="n">
        <v>10.1</v>
      </c>
      <c r="Q40" s="7" t="inlineStr">
        <is>
          <t>top rise good</t>
        </is>
      </c>
    </row>
    <row r="41">
      <c r="H41" s="7" t="n"/>
      <c r="I41" s="7" t="n"/>
      <c r="J41" s="7" t="n">
        <v>2</v>
      </c>
      <c r="K41" s="7" t="n">
        <v>89.8</v>
      </c>
      <c r="L41" s="7" t="n">
        <v>15.9</v>
      </c>
      <c r="M41" s="7" t="inlineStr">
        <is>
          <t>golden-brown</t>
        </is>
      </c>
      <c r="N41" s="7" t="inlineStr">
        <is>
          <t>Y</t>
        </is>
      </c>
      <c r="O41" s="7" t="n">
        <v>2.8</v>
      </c>
      <c r="P41" s="7" t="n">
        <v>9.699999999999999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89.90000000000001</v>
      </c>
      <c r="L42" s="7" t="n">
        <v>15.9</v>
      </c>
      <c r="M42" s="7" t="inlineStr">
        <is>
          <t>golden-brown</t>
        </is>
      </c>
      <c r="N42" s="7" t="inlineStr">
        <is>
          <t>Y</t>
        </is>
      </c>
      <c r="O42" s="7" t="n">
        <v>3</v>
      </c>
      <c r="P42" s="7" t="n">
        <v>9.699999999999999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89.3</v>
      </c>
      <c r="L43" s="7" t="n">
        <v>16.5</v>
      </c>
      <c r="M43" s="7" t="inlineStr">
        <is>
          <t>dark edge</t>
        </is>
      </c>
      <c r="N43" s="7" t="inlineStr">
        <is>
          <t>N</t>
        </is>
      </c>
      <c r="O43" s="7" t="n">
        <v>2.5</v>
      </c>
      <c r="P43" s="7" t="n">
        <v>9.6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90.09999999999999</v>
      </c>
      <c r="L44" s="7" t="n">
        <v>15.8</v>
      </c>
      <c r="M44" s="7" t="inlineStr">
        <is>
          <t>golden</t>
        </is>
      </c>
      <c r="N44" s="7" t="inlineStr">
        <is>
          <t>Y</t>
        </is>
      </c>
      <c r="O44" s="7" t="n">
        <v>2.9</v>
      </c>
      <c r="P44" s="7" t="n">
        <v>10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89.8</v>
      </c>
      <c r="L45" s="7" t="n">
        <v>16.3</v>
      </c>
      <c r="M45" s="7" t="inlineStr">
        <is>
          <t>pale</t>
        </is>
      </c>
      <c r="N45" s="7" t="inlineStr">
        <is>
          <t>N</t>
        </is>
      </c>
      <c r="O45" s="7" t="n">
        <v>3.1</v>
      </c>
      <c r="P45" s="7" t="n">
        <v>9.6</v>
      </c>
      <c r="Q45" s="7" t="inlineStr">
        <is>
          <t>-</t>
        </is>
      </c>
    </row>
    <row r="46">
      <c r="H46" s="7" t="n">
        <v>18</v>
      </c>
      <c r="I46" s="7" t="inlineStr">
        <is>
          <t>올리브토핑</t>
        </is>
      </c>
      <c r="J46" s="7" t="n">
        <v>1</v>
      </c>
      <c r="K46" s="7" t="n">
        <v>89</v>
      </c>
      <c r="L46" s="7" t="n">
        <v>16.3</v>
      </c>
      <c r="M46" s="7" t="inlineStr">
        <is>
          <t>golden-brown</t>
        </is>
      </c>
      <c r="N46" s="7" t="inlineStr">
        <is>
          <t>Y</t>
        </is>
      </c>
      <c r="O46" s="7" t="n">
        <v>2.7</v>
      </c>
      <c r="P46" s="7" t="n">
        <v>10</v>
      </c>
      <c r="Q46" s="7" t="inlineStr">
        <is>
          <t>-</t>
        </is>
      </c>
    </row>
    <row r="47">
      <c r="H47" s="7" t="n"/>
      <c r="I47" s="7" t="n"/>
      <c r="J47" s="7" t="n">
        <v>2</v>
      </c>
      <c r="K47" s="7" t="n">
        <v>89.59999999999999</v>
      </c>
      <c r="L47" s="7" t="n">
        <v>16.3</v>
      </c>
      <c r="M47" s="7" t="inlineStr">
        <is>
          <t>golden-brown</t>
        </is>
      </c>
      <c r="N47" s="7" t="inlineStr">
        <is>
          <t>Y</t>
        </is>
      </c>
      <c r="O47" s="7" t="n">
        <v>2.4</v>
      </c>
      <c r="P47" s="7" t="n">
        <v>9.6</v>
      </c>
      <c r="Q47" s="7" t="inlineStr">
        <is>
          <t>사진 참조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17.8</v>
      </c>
      <c r="M48" s="7" t="inlineStr">
        <is>
          <t>golden-brown</t>
        </is>
      </c>
      <c r="N48" s="7" t="inlineStr">
        <is>
          <t>N</t>
        </is>
      </c>
      <c r="O48" s="7" t="n">
        <v>2.8</v>
      </c>
      <c r="P48" s="7" t="n">
        <v>11.5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17.2</v>
      </c>
      <c r="M49" s="7" t="inlineStr">
        <is>
          <t>golden</t>
        </is>
      </c>
      <c r="N49" s="7" t="inlineStr">
        <is>
          <t>Y</t>
        </is>
      </c>
      <c r="O49" s="7" t="n">
        <v>2.5</v>
      </c>
      <c r="P49" s="7" t="n">
        <v>11.6</v>
      </c>
      <c r="Q49" s="7" t="inlineStr">
        <is>
          <t>-</t>
        </is>
      </c>
    </row>
    <row r="50">
      <c r="H50" s="7" t="n">
        <v>21</v>
      </c>
      <c r="I50" s="7" t="inlineStr">
        <is>
          <t>올리브토핑</t>
        </is>
      </c>
      <c r="J50" s="7" t="n">
        <v>1</v>
      </c>
      <c r="K50" s="7" t="n">
        <v>99.5</v>
      </c>
      <c r="L50" s="7" t="n">
        <v>17.2</v>
      </c>
      <c r="M50" s="7" t="inlineStr">
        <is>
          <t>pale</t>
        </is>
      </c>
      <c r="N50" s="7" t="inlineStr">
        <is>
          <t>N</t>
        </is>
      </c>
      <c r="O50" s="7" t="n">
        <v>2.7</v>
      </c>
      <c r="P50" s="7" t="n">
        <v>11.4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17.7</v>
      </c>
      <c r="M51" s="7" t="inlineStr">
        <is>
          <t>pale</t>
        </is>
      </c>
      <c r="N51" s="7" t="inlineStr">
        <is>
          <t>N</t>
        </is>
      </c>
      <c r="O51" s="7" t="n">
        <v>2.2</v>
      </c>
      <c r="P51" s="7" t="n">
        <v>11.2</v>
      </c>
      <c r="Q51" s="7" t="inlineStr">
        <is>
          <t>center moist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올리브 / Oven 185℃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올리브</t>
        </is>
      </c>
      <c r="D6" s="3" t="inlineStr">
        <is>
          <t>오븐설정</t>
        </is>
      </c>
      <c r="E6" s="4" t="inlineStr">
        <is>
          <t>185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2026-09-11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27.4</v>
      </c>
      <c r="L8" s="7" t="n">
        <v>7.8</v>
      </c>
      <c r="M8" s="7" t="inlineStr">
        <is>
          <t>pale</t>
        </is>
      </c>
      <c r="N8" s="7" t="inlineStr">
        <is>
          <t>N</t>
        </is>
      </c>
      <c r="O8" s="7" t="n">
        <v>5</v>
      </c>
      <c r="P8" s="7" t="n">
        <v>1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27.7</v>
      </c>
      <c r="L9" s="7" t="n">
        <v>7.9</v>
      </c>
      <c r="M9" s="7" t="inlineStr">
        <is>
          <t>golden-brown</t>
        </is>
      </c>
      <c r="N9" s="7" t="inlineStr">
        <is>
          <t>N</t>
        </is>
      </c>
      <c r="O9" s="7" t="n">
        <v>4.5</v>
      </c>
      <c r="P9" s="7" t="n">
        <v>1</v>
      </c>
      <c r="Q9" s="7" t="inlineStr">
        <is>
          <t>사진 참조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28</v>
      </c>
      <c r="L10" s="7" t="n">
        <v>7.5</v>
      </c>
      <c r="M10" s="7" t="inlineStr">
        <is>
          <t>golden-brown</t>
        </is>
      </c>
      <c r="N10" s="7" t="inlineStr">
        <is>
          <t>Y</t>
        </is>
      </c>
      <c r="O10" s="7" t="n">
        <v>4.5</v>
      </c>
      <c r="P10" s="7" t="n">
        <v>1</v>
      </c>
      <c r="Q10" s="7" t="inlineStr">
        <is>
          <t>edge darker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27.2</v>
      </c>
      <c r="L11" s="7" t="n">
        <v>7.4</v>
      </c>
      <c r="M11" s="7" t="inlineStr">
        <is>
          <t>dark edge</t>
        </is>
      </c>
      <c r="N11" s="7" t="inlineStr">
        <is>
          <t>N</t>
        </is>
      </c>
      <c r="O11" s="7" t="n">
        <v>4.8</v>
      </c>
      <c r="P11" s="7" t="n">
        <v>1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37.9</v>
      </c>
      <c r="L12" s="7" t="n">
        <v>8.699999999999999</v>
      </c>
      <c r="M12" s="7" t="inlineStr">
        <is>
          <t>pale</t>
        </is>
      </c>
      <c r="N12" s="7" t="inlineStr">
        <is>
          <t>N</t>
        </is>
      </c>
      <c r="O12" s="7" t="n">
        <v>4.4</v>
      </c>
      <c r="P12" s="7" t="n">
        <v>1.7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39</v>
      </c>
      <c r="L13" s="7" t="n">
        <v>8.800000000000001</v>
      </c>
      <c r="M13" s="7" t="inlineStr">
        <is>
          <t>dark edge</t>
        </is>
      </c>
      <c r="N13" s="7" t="inlineStr">
        <is>
          <t>Y</t>
        </is>
      </c>
      <c r="O13" s="7" t="n">
        <v>4.2</v>
      </c>
      <c r="P13" s="7" t="n">
        <v>2.1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37.5</v>
      </c>
      <c r="L14" s="7" t="n">
        <v>9</v>
      </c>
      <c r="M14" s="7" t="inlineStr">
        <is>
          <t>golden</t>
        </is>
      </c>
      <c r="N14" s="7" t="inlineStr">
        <is>
          <t>Y</t>
        </is>
      </c>
      <c r="O14" s="7" t="n">
        <v>4.3</v>
      </c>
      <c r="P14" s="7" t="n">
        <v>1.9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38.2</v>
      </c>
      <c r="L15" s="7" t="n">
        <v>8.9</v>
      </c>
      <c r="M15" s="7" t="inlineStr">
        <is>
          <t>dark edge</t>
        </is>
      </c>
      <c r="N15" s="7" t="inlineStr">
        <is>
          <t>N</t>
        </is>
      </c>
      <c r="O15" s="7" t="n">
        <v>4.1</v>
      </c>
      <c r="P15" s="7" t="n">
        <v>1.8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47.9</v>
      </c>
      <c r="L16" s="7" t="n">
        <v>10.8</v>
      </c>
      <c r="M16" s="7" t="inlineStr">
        <is>
          <t>dark edge</t>
        </is>
      </c>
      <c r="N16" s="7" t="inlineStr">
        <is>
          <t>N</t>
        </is>
      </c>
      <c r="O16" s="7" t="n">
        <v>3.9</v>
      </c>
      <c r="P16" s="7" t="n">
        <v>3.9</v>
      </c>
      <c r="Q16" s="7" t="inlineStr">
        <is>
          <t>top rise good</t>
        </is>
      </c>
    </row>
    <row r="17">
      <c r="H17" s="7" t="n"/>
      <c r="I17" s="7" t="n"/>
      <c r="J17" s="7" t="n">
        <v>2</v>
      </c>
      <c r="K17" s="7" t="n">
        <v>48.7</v>
      </c>
      <c r="L17" s="7" t="n">
        <v>10.1</v>
      </c>
      <c r="M17" s="7" t="inlineStr">
        <is>
          <t>golden</t>
        </is>
      </c>
      <c r="N17" s="7" t="inlineStr">
        <is>
          <t>N</t>
        </is>
      </c>
      <c r="O17" s="7" t="n">
        <v>3.7</v>
      </c>
      <c r="P17" s="7" t="n">
        <v>3.6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49.1</v>
      </c>
      <c r="L18" s="7" t="n">
        <v>10.8</v>
      </c>
      <c r="M18" s="7" t="inlineStr">
        <is>
          <t>pale</t>
        </is>
      </c>
      <c r="N18" s="7" t="inlineStr">
        <is>
          <t>N</t>
        </is>
      </c>
      <c r="O18" s="7" t="n">
        <v>3.8</v>
      </c>
      <c r="P18" s="7" t="n">
        <v>3.8</v>
      </c>
      <c r="Q18" s="7" t="inlineStr">
        <is>
          <t>사진 참조</t>
        </is>
      </c>
    </row>
    <row r="19">
      <c r="H19" s="7" t="n"/>
      <c r="I19" s="7" t="n"/>
      <c r="J19" s="7" t="n">
        <v>2</v>
      </c>
      <c r="K19" s="7" t="n">
        <v>49</v>
      </c>
      <c r="L19" s="7" t="n">
        <v>10.7</v>
      </c>
      <c r="M19" s="7" t="inlineStr">
        <is>
          <t>pale</t>
        </is>
      </c>
      <c r="N19" s="7" t="inlineStr">
        <is>
          <t>N</t>
        </is>
      </c>
      <c r="O19" s="7" t="n">
        <v>3.8</v>
      </c>
      <c r="P19" s="7" t="n">
        <v>3.9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48.5</v>
      </c>
      <c r="L20" s="7" t="n">
        <v>10.2</v>
      </c>
      <c r="M20" s="7" t="inlineStr">
        <is>
          <t>golden-brown</t>
        </is>
      </c>
      <c r="N20" s="7" t="inlineStr">
        <is>
          <t>N</t>
        </is>
      </c>
      <c r="O20" s="7" t="n">
        <v>4</v>
      </c>
      <c r="P20" s="7" t="n">
        <v>3.7</v>
      </c>
      <c r="Q20" s="7" t="inlineStr">
        <is>
          <t>edge darker</t>
        </is>
      </c>
    </row>
    <row r="21">
      <c r="H21" s="7" t="n"/>
      <c r="I21" s="7" t="n"/>
      <c r="J21" s="7" t="n">
        <v>2</v>
      </c>
      <c r="K21" s="7" t="n">
        <v>49</v>
      </c>
      <c r="L21" s="7" t="n">
        <v>10.5</v>
      </c>
      <c r="M21" s="7" t="inlineStr">
        <is>
          <t>golden</t>
        </is>
      </c>
      <c r="N21" s="7" t="inlineStr">
        <is>
          <t>N</t>
        </is>
      </c>
      <c r="O21" s="7" t="n">
        <v>4.3</v>
      </c>
      <c r="P21" s="7" t="n">
        <v>3.8</v>
      </c>
      <c r="Q21" s="7" t="inlineStr">
        <is>
          <t>-</t>
        </is>
      </c>
    </row>
    <row r="22">
      <c r="H22" s="7" t="n">
        <v>6</v>
      </c>
      <c r="I22" s="7" t="inlineStr">
        <is>
          <t>올리브토핑</t>
        </is>
      </c>
      <c r="J22" s="7" t="n">
        <v>1</v>
      </c>
      <c r="K22" s="7" t="n">
        <v>48.7</v>
      </c>
      <c r="L22" s="7" t="n">
        <v>10.6</v>
      </c>
      <c r="M22" s="7" t="inlineStr">
        <is>
          <t>golden-brown</t>
        </is>
      </c>
      <c r="N22" s="7" t="inlineStr">
        <is>
          <t>N</t>
        </is>
      </c>
      <c r="O22" s="7" t="n">
        <v>4.3</v>
      </c>
      <c r="P22" s="7" t="n">
        <v>3.8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49.4</v>
      </c>
      <c r="L23" s="7" t="n">
        <v>10.5</v>
      </c>
      <c r="M23" s="7" t="inlineStr">
        <is>
          <t>golden</t>
        </is>
      </c>
      <c r="N23" s="7" t="inlineStr">
        <is>
          <t>Y</t>
        </is>
      </c>
      <c r="O23" s="7" t="n">
        <v>3.8</v>
      </c>
      <c r="P23" s="7" t="n">
        <v>3.4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59.3</v>
      </c>
      <c r="L24" s="7" t="n">
        <v>11.9</v>
      </c>
      <c r="M24" s="7" t="inlineStr">
        <is>
          <t>dark edge</t>
        </is>
      </c>
      <c r="N24" s="7" t="inlineStr">
        <is>
          <t>Y</t>
        </is>
      </c>
      <c r="O24" s="7" t="n">
        <v>3.5</v>
      </c>
      <c r="P24" s="7" t="n">
        <v>5.3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58.7</v>
      </c>
      <c r="L25" s="7" t="n">
        <v>11.5</v>
      </c>
      <c r="M25" s="7" t="inlineStr">
        <is>
          <t>pale</t>
        </is>
      </c>
      <c r="N25" s="7" t="inlineStr">
        <is>
          <t>N</t>
        </is>
      </c>
      <c r="O25" s="7" t="n">
        <v>3.9</v>
      </c>
      <c r="P25" s="7" t="n">
        <v>5.4</v>
      </c>
      <c r="Q25" s="7" t="inlineStr">
        <is>
          <t>사진 참조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59.1</v>
      </c>
      <c r="L26" s="7" t="n">
        <v>11.6</v>
      </c>
      <c r="M26" s="7" t="inlineStr">
        <is>
          <t>pale</t>
        </is>
      </c>
      <c r="N26" s="7" t="inlineStr">
        <is>
          <t>N</t>
        </is>
      </c>
      <c r="O26" s="7" t="n">
        <v>3.9</v>
      </c>
      <c r="P26" s="7" t="n">
        <v>5.3</v>
      </c>
      <c r="Q26" s="7" t="inlineStr">
        <is>
          <t>-</t>
        </is>
      </c>
    </row>
    <row r="27">
      <c r="H27" s="7" t="n"/>
      <c r="I27" s="7" t="n"/>
      <c r="J27" s="7" t="n">
        <v>2</v>
      </c>
      <c r="K27" s="7" t="n">
        <v>59.7</v>
      </c>
      <c r="L27" s="7" t="n">
        <v>12.2</v>
      </c>
      <c r="M27" s="7" t="inlineStr">
        <is>
          <t>golden-brown</t>
        </is>
      </c>
      <c r="N27" s="7" t="inlineStr">
        <is>
          <t>N</t>
        </is>
      </c>
      <c r="O27" s="7" t="n">
        <v>3.5</v>
      </c>
      <c r="P27" s="7" t="n">
        <v>4.9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69.7</v>
      </c>
      <c r="L28" s="7" t="n">
        <v>13.7</v>
      </c>
      <c r="M28" s="7" t="inlineStr">
        <is>
          <t>dark edge</t>
        </is>
      </c>
      <c r="N28" s="7" t="inlineStr">
        <is>
          <t>N</t>
        </is>
      </c>
      <c r="O28" s="7" t="n">
        <v>3.5</v>
      </c>
      <c r="P28" s="7" t="n">
        <v>7.1</v>
      </c>
      <c r="Q28" s="7" t="inlineStr">
        <is>
          <t>top rise good</t>
        </is>
      </c>
    </row>
    <row r="29">
      <c r="H29" s="7" t="n"/>
      <c r="I29" s="7" t="n"/>
      <c r="J29" s="7" t="n">
        <v>2</v>
      </c>
      <c r="K29" s="7" t="n">
        <v>70.59999999999999</v>
      </c>
      <c r="L29" s="7" t="n">
        <v>13.4</v>
      </c>
      <c r="M29" s="7" t="inlineStr">
        <is>
          <t>golden-brown</t>
        </is>
      </c>
      <c r="N29" s="7" t="inlineStr">
        <is>
          <t>N</t>
        </is>
      </c>
      <c r="O29" s="7" t="n">
        <v>3.5</v>
      </c>
      <c r="P29" s="7" t="n">
        <v>7</v>
      </c>
      <c r="Q29" s="7" t="inlineStr">
        <is>
          <t>-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70.2</v>
      </c>
      <c r="L30" s="7" t="n">
        <v>13.7</v>
      </c>
      <c r="M30" s="7" t="inlineStr">
        <is>
          <t>golden-brown</t>
        </is>
      </c>
      <c r="N30" s="7" t="inlineStr">
        <is>
          <t>N</t>
        </is>
      </c>
      <c r="O30" s="7" t="n">
        <v>3.3</v>
      </c>
      <c r="P30" s="7" t="n">
        <v>6.8</v>
      </c>
      <c r="Q30" s="7" t="inlineStr">
        <is>
          <t>top rise good</t>
        </is>
      </c>
    </row>
    <row r="31">
      <c r="H31" s="7" t="n"/>
      <c r="I31" s="7" t="n"/>
      <c r="J31" s="7" t="n">
        <v>2</v>
      </c>
      <c r="K31" s="7" t="n">
        <v>69.59999999999999</v>
      </c>
      <c r="L31" s="7" t="n">
        <v>13.5</v>
      </c>
      <c r="M31" s="7" t="inlineStr">
        <is>
          <t>golden-brown</t>
        </is>
      </c>
      <c r="N31" s="7" t="inlineStr">
        <is>
          <t>N</t>
        </is>
      </c>
      <c r="O31" s="7" t="n">
        <v>3.5</v>
      </c>
      <c r="P31" s="7" t="n">
        <v>6.9</v>
      </c>
      <c r="Q31" s="7" t="inlineStr">
        <is>
          <t>top rise good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69.2</v>
      </c>
      <c r="L32" s="7" t="n">
        <v>13.6</v>
      </c>
      <c r="M32" s="7" t="inlineStr">
        <is>
          <t>dark edge</t>
        </is>
      </c>
      <c r="N32" s="7" t="inlineStr">
        <is>
          <t>N</t>
        </is>
      </c>
      <c r="O32" s="7" t="n">
        <v>3.1</v>
      </c>
      <c r="P32" s="7" t="n">
        <v>6.6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69.7</v>
      </c>
      <c r="L33" s="7" t="n">
        <v>13.2</v>
      </c>
      <c r="M33" s="7" t="inlineStr">
        <is>
          <t>pale</t>
        </is>
      </c>
      <c r="N33" s="7" t="inlineStr">
        <is>
          <t>N</t>
        </is>
      </c>
      <c r="O33" s="7" t="n">
        <v>3.5</v>
      </c>
      <c r="P33" s="7" t="n">
        <v>7.2</v>
      </c>
      <c r="Q33" s="7" t="inlineStr">
        <is>
          <t>edge darker</t>
        </is>
      </c>
    </row>
    <row r="34">
      <c r="H34" s="7" t="n">
        <v>12</v>
      </c>
      <c r="I34" s="7" t="inlineStr">
        <is>
          <t>올리브토핑</t>
        </is>
      </c>
      <c r="J34" s="7" t="n">
        <v>1</v>
      </c>
      <c r="K34" s="7" t="n">
        <v>69.2</v>
      </c>
      <c r="L34" s="7" t="n">
        <v>13.7</v>
      </c>
      <c r="M34" s="7" t="inlineStr">
        <is>
          <t>pale</t>
        </is>
      </c>
      <c r="N34" s="7" t="inlineStr">
        <is>
          <t>Y</t>
        </is>
      </c>
      <c r="O34" s="7" t="n">
        <v>3.6</v>
      </c>
      <c r="P34" s="7" t="n">
        <v>6.8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69.7</v>
      </c>
      <c r="L35" s="7" t="n">
        <v>13</v>
      </c>
      <c r="M35" s="7" t="inlineStr">
        <is>
          <t>pale</t>
        </is>
      </c>
      <c r="N35" s="7" t="inlineStr">
        <is>
          <t>Y</t>
        </is>
      </c>
      <c r="O35" s="7" t="n">
        <v>3.7</v>
      </c>
      <c r="P35" s="7" t="n">
        <v>6.6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80.09999999999999</v>
      </c>
      <c r="L36" s="7" t="n">
        <v>15.2</v>
      </c>
      <c r="M36" s="7" t="inlineStr">
        <is>
          <t>golden-brown</t>
        </is>
      </c>
      <c r="N36" s="7" t="inlineStr">
        <is>
          <t>N</t>
        </is>
      </c>
      <c r="O36" s="7" t="n">
        <v>3.1</v>
      </c>
      <c r="P36" s="7" t="n">
        <v>8.9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80.7</v>
      </c>
      <c r="L37" s="7" t="n">
        <v>14.5</v>
      </c>
      <c r="M37" s="7" t="inlineStr">
        <is>
          <t>golden-brown</t>
        </is>
      </c>
      <c r="N37" s="7" t="inlineStr">
        <is>
          <t>Y</t>
        </is>
      </c>
      <c r="O37" s="7" t="n">
        <v>3.2</v>
      </c>
      <c r="P37" s="7" t="n">
        <v>8.5</v>
      </c>
      <c r="Q37" s="7" t="inlineStr">
        <is>
          <t>top rise good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79.40000000000001</v>
      </c>
      <c r="L38" s="7" t="n">
        <v>14.6</v>
      </c>
      <c r="M38" s="7" t="inlineStr">
        <is>
          <t>golden</t>
        </is>
      </c>
      <c r="N38" s="7" t="inlineStr">
        <is>
          <t>Y</t>
        </is>
      </c>
      <c r="O38" s="7" t="n">
        <v>3.1</v>
      </c>
      <c r="P38" s="7" t="n">
        <v>8.5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79.7</v>
      </c>
      <c r="L39" s="7" t="n">
        <v>15</v>
      </c>
      <c r="M39" s="7" t="inlineStr">
        <is>
          <t>golden</t>
        </is>
      </c>
      <c r="N39" s="7" t="inlineStr">
        <is>
          <t>N</t>
        </is>
      </c>
      <c r="O39" s="7" t="n">
        <v>3.1</v>
      </c>
      <c r="P39" s="7" t="n">
        <v>8.6</v>
      </c>
      <c r="Q39" s="7" t="inlineStr">
        <is>
          <t>-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91.09999999999999</v>
      </c>
      <c r="L40" s="7" t="n">
        <v>15.9</v>
      </c>
      <c r="M40" s="7" t="inlineStr">
        <is>
          <t>golden-brown</t>
        </is>
      </c>
      <c r="N40" s="7" t="inlineStr">
        <is>
          <t>Y</t>
        </is>
      </c>
      <c r="O40" s="7" t="n">
        <v>2.9</v>
      </c>
      <c r="P40" s="7" t="n">
        <v>9.800000000000001</v>
      </c>
      <c r="Q40" s="7" t="inlineStr">
        <is>
          <t>top rise good</t>
        </is>
      </c>
    </row>
    <row r="41">
      <c r="H41" s="7" t="n"/>
      <c r="I41" s="7" t="n"/>
      <c r="J41" s="7" t="n">
        <v>2</v>
      </c>
      <c r="K41" s="7" t="n">
        <v>90.3</v>
      </c>
      <c r="L41" s="7" t="n">
        <v>16.6</v>
      </c>
      <c r="M41" s="7" t="inlineStr">
        <is>
          <t>dark edge</t>
        </is>
      </c>
      <c r="N41" s="7" t="inlineStr">
        <is>
          <t>N</t>
        </is>
      </c>
      <c r="O41" s="7" t="n">
        <v>3</v>
      </c>
      <c r="P41" s="7" t="n">
        <v>10.3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90</v>
      </c>
      <c r="L42" s="7" t="n">
        <v>16.7</v>
      </c>
      <c r="M42" s="7" t="inlineStr">
        <is>
          <t>pale</t>
        </is>
      </c>
      <c r="N42" s="7" t="inlineStr">
        <is>
          <t>Y</t>
        </is>
      </c>
      <c r="O42" s="7" t="n">
        <v>2.7</v>
      </c>
      <c r="P42" s="7" t="n">
        <v>10.4</v>
      </c>
      <c r="Q42" s="7" t="inlineStr">
        <is>
          <t>top rise good</t>
        </is>
      </c>
    </row>
    <row r="43">
      <c r="H43" s="7" t="n"/>
      <c r="I43" s="7" t="n"/>
      <c r="J43" s="7" t="n">
        <v>2</v>
      </c>
      <c r="K43" s="7" t="n">
        <v>90.90000000000001</v>
      </c>
      <c r="L43" s="7" t="n">
        <v>16</v>
      </c>
      <c r="M43" s="7" t="inlineStr">
        <is>
          <t>golden-brown</t>
        </is>
      </c>
      <c r="N43" s="7" t="inlineStr">
        <is>
          <t>N</t>
        </is>
      </c>
      <c r="O43" s="7" t="n">
        <v>3.1</v>
      </c>
      <c r="P43" s="7" t="n">
        <v>9.800000000000001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91.09999999999999</v>
      </c>
      <c r="L44" s="7" t="n">
        <v>16.6</v>
      </c>
      <c r="M44" s="7" t="inlineStr">
        <is>
          <t>dark edge</t>
        </is>
      </c>
      <c r="N44" s="7" t="inlineStr">
        <is>
          <t>N</t>
        </is>
      </c>
      <c r="O44" s="7" t="n">
        <v>2.4</v>
      </c>
      <c r="P44" s="7" t="n">
        <v>9.9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90.59999999999999</v>
      </c>
      <c r="L45" s="7" t="n">
        <v>16.1</v>
      </c>
      <c r="M45" s="7" t="inlineStr">
        <is>
          <t>pale</t>
        </is>
      </c>
      <c r="N45" s="7" t="inlineStr">
        <is>
          <t>N</t>
        </is>
      </c>
      <c r="O45" s="7" t="n">
        <v>2.6</v>
      </c>
      <c r="P45" s="7" t="n">
        <v>9.800000000000001</v>
      </c>
      <c r="Q45" s="7" t="inlineStr">
        <is>
          <t>top rise good</t>
        </is>
      </c>
    </row>
    <row r="46">
      <c r="H46" s="7" t="n">
        <v>18</v>
      </c>
      <c r="I46" s="7" t="inlineStr">
        <is>
          <t>올리브토핑</t>
        </is>
      </c>
      <c r="J46" s="7" t="n">
        <v>1</v>
      </c>
      <c r="K46" s="7" t="n">
        <v>90.7</v>
      </c>
      <c r="L46" s="7" t="n">
        <v>16.2</v>
      </c>
      <c r="M46" s="7" t="inlineStr">
        <is>
          <t>pale</t>
        </is>
      </c>
      <c r="N46" s="7" t="inlineStr">
        <is>
          <t>Y</t>
        </is>
      </c>
      <c r="O46" s="7" t="n">
        <v>2.8</v>
      </c>
      <c r="P46" s="7" t="n">
        <v>10.1</v>
      </c>
      <c r="Q46" s="7" t="inlineStr">
        <is>
          <t>sheet note</t>
        </is>
      </c>
    </row>
    <row r="47">
      <c r="H47" s="7" t="n"/>
      <c r="I47" s="7" t="n"/>
      <c r="J47" s="7" t="n">
        <v>2</v>
      </c>
      <c r="K47" s="7" t="n">
        <v>90.90000000000001</v>
      </c>
      <c r="L47" s="7" t="n">
        <v>16.1</v>
      </c>
      <c r="M47" s="7" t="inlineStr">
        <is>
          <t>pale</t>
        </is>
      </c>
      <c r="N47" s="7" t="inlineStr">
        <is>
          <t>N</t>
        </is>
      </c>
      <c r="O47" s="7" t="n">
        <v>2.4</v>
      </c>
      <c r="P47" s="7" t="n">
        <v>9.9</v>
      </c>
      <c r="Q47" s="7" t="inlineStr">
        <is>
          <t>center moist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</v>
      </c>
      <c r="M48" s="7" t="inlineStr">
        <is>
          <t>golden-brown</t>
        </is>
      </c>
      <c r="N48" s="7" t="inlineStr">
        <is>
          <t>N</t>
        </is>
      </c>
      <c r="O48" s="7" t="n">
        <v>2.2</v>
      </c>
      <c r="P48" s="7" t="n">
        <v>12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17.7</v>
      </c>
      <c r="M49" s="7" t="inlineStr">
        <is>
          <t>golden-brown</t>
        </is>
      </c>
      <c r="N49" s="7" t="inlineStr">
        <is>
          <t>N</t>
        </is>
      </c>
      <c r="O49" s="7" t="n">
        <v>2.7</v>
      </c>
      <c r="P49" s="7" t="n">
        <v>11.6</v>
      </c>
      <c r="Q49" s="7" t="inlineStr">
        <is>
          <t>사진 참조</t>
        </is>
      </c>
    </row>
    <row r="50">
      <c r="H50" s="7" t="n">
        <v>21</v>
      </c>
      <c r="I50" s="7" t="inlineStr">
        <is>
          <t>올리브토핑</t>
        </is>
      </c>
      <c r="J50" s="7" t="n">
        <v>1</v>
      </c>
      <c r="K50" s="7" t="n">
        <v>99.5</v>
      </c>
      <c r="L50" s="7" t="n">
        <v>17.3</v>
      </c>
      <c r="M50" s="7" t="inlineStr">
        <is>
          <t>golden-brown</t>
        </is>
      </c>
      <c r="N50" s="7" t="inlineStr">
        <is>
          <t>Y</t>
        </is>
      </c>
      <c r="O50" s="7" t="n">
        <v>2.4</v>
      </c>
      <c r="P50" s="7" t="n">
        <v>11.5</v>
      </c>
      <c r="Q50" s="7" t="inlineStr">
        <is>
          <t>-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17.5</v>
      </c>
      <c r="M51" s="7" t="inlineStr">
        <is>
          <t>dark edge</t>
        </is>
      </c>
      <c r="N51" s="7" t="inlineStr">
        <is>
          <t>N</t>
        </is>
      </c>
      <c r="O51" s="7" t="n">
        <v>2.5</v>
      </c>
      <c r="P51" s="7" t="n">
        <v>11.4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올리브 / Oven 190℃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올리브</t>
        </is>
      </c>
      <c r="D6" s="3" t="inlineStr">
        <is>
          <t>오븐설정</t>
        </is>
      </c>
      <c r="E6" s="4" t="inlineStr">
        <is>
          <t>190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2026-09-12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28.1</v>
      </c>
      <c r="L8" s="7" t="n">
        <v>7.5</v>
      </c>
      <c r="M8" s="7" t="inlineStr">
        <is>
          <t>golden</t>
        </is>
      </c>
      <c r="N8" s="7" t="inlineStr">
        <is>
          <t>Y</t>
        </is>
      </c>
      <c r="O8" s="7" t="n">
        <v>4.9</v>
      </c>
      <c r="P8" s="7" t="n">
        <v>1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29.8</v>
      </c>
      <c r="L9" s="7" t="n">
        <v>7.6</v>
      </c>
      <c r="M9" s="7" t="inlineStr">
        <is>
          <t>dark edge</t>
        </is>
      </c>
      <c r="N9" s="7" t="inlineStr">
        <is>
          <t>N</t>
        </is>
      </c>
      <c r="O9" s="7" t="n">
        <v>5</v>
      </c>
      <c r="P9" s="7" t="n">
        <v>1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올리브토핑</t>
        </is>
      </c>
      <c r="J10" s="7" t="n">
        <v>1</v>
      </c>
      <c r="K10" s="7" t="n">
        <v>29.3</v>
      </c>
      <c r="L10" s="7" t="n">
        <v>7.7</v>
      </c>
      <c r="M10" s="7" t="inlineStr">
        <is>
          <t>golden</t>
        </is>
      </c>
      <c r="N10" s="7" t="inlineStr">
        <is>
          <t>N</t>
        </is>
      </c>
      <c r="O10" s="7" t="n">
        <v>4.6</v>
      </c>
      <c r="P10" s="7" t="n">
        <v>1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29.4</v>
      </c>
      <c r="L11" s="7" t="n">
        <v>8.199999999999999</v>
      </c>
      <c r="M11" s="7" t="inlineStr">
        <is>
          <t>golden</t>
        </is>
      </c>
      <c r="N11" s="7" t="inlineStr">
        <is>
          <t>N</t>
        </is>
      </c>
      <c r="O11" s="7" t="n">
        <v>4.7</v>
      </c>
      <c r="P11" s="7" t="n">
        <v>1</v>
      </c>
      <c r="Q11" s="7" t="inlineStr">
        <is>
          <t>top rise good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39.6</v>
      </c>
      <c r="L12" s="7" t="n">
        <v>9.4</v>
      </c>
      <c r="M12" s="7" t="inlineStr">
        <is>
          <t>golden-brown</t>
        </is>
      </c>
      <c r="N12" s="7" t="inlineStr">
        <is>
          <t>Y</t>
        </is>
      </c>
      <c r="O12" s="7" t="n">
        <v>4.6</v>
      </c>
      <c r="P12" s="7" t="n">
        <v>2</v>
      </c>
      <c r="Q12" s="7" t="inlineStr">
        <is>
          <t>center moist</t>
        </is>
      </c>
    </row>
    <row r="13">
      <c r="H13" s="7" t="n"/>
      <c r="I13" s="7" t="n"/>
      <c r="J13" s="7" t="n">
        <v>2</v>
      </c>
      <c r="K13" s="7" t="n">
        <v>39.7</v>
      </c>
      <c r="L13" s="7" t="n">
        <v>9.199999999999999</v>
      </c>
      <c r="M13" s="7" t="inlineStr">
        <is>
          <t>golden-brown</t>
        </is>
      </c>
      <c r="N13" s="7" t="inlineStr">
        <is>
          <t>N</t>
        </is>
      </c>
      <c r="O13" s="7" t="n">
        <v>4.1</v>
      </c>
      <c r="P13" s="7" t="n">
        <v>2.2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올리브토핑</t>
        </is>
      </c>
      <c r="J14" s="7" t="n">
        <v>1</v>
      </c>
      <c r="K14" s="7" t="n">
        <v>39.2</v>
      </c>
      <c r="L14" s="7" t="n">
        <v>9</v>
      </c>
      <c r="M14" s="7" t="inlineStr">
        <is>
          <t>golden</t>
        </is>
      </c>
      <c r="N14" s="7" t="inlineStr">
        <is>
          <t>Y</t>
        </is>
      </c>
      <c r="O14" s="7" t="n">
        <v>4.6</v>
      </c>
      <c r="P14" s="7" t="n">
        <v>2.5</v>
      </c>
      <c r="Q14" s="7" t="inlineStr">
        <is>
          <t>-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39</v>
      </c>
      <c r="L15" s="7" t="n">
        <v>9</v>
      </c>
      <c r="M15" s="7" t="inlineStr">
        <is>
          <t>pale</t>
        </is>
      </c>
      <c r="N15" s="7" t="inlineStr">
        <is>
          <t>N</t>
        </is>
      </c>
      <c r="O15" s="7" t="n">
        <v>4.3</v>
      </c>
      <c r="P15" s="7" t="n">
        <v>2.3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48.9</v>
      </c>
      <c r="L16" s="7" t="n">
        <v>10.3</v>
      </c>
      <c r="M16" s="7" t="inlineStr">
        <is>
          <t>golden</t>
        </is>
      </c>
      <c r="N16" s="7" t="inlineStr">
        <is>
          <t>N</t>
        </is>
      </c>
      <c r="O16" s="7" t="n">
        <v>4.1</v>
      </c>
      <c r="P16" s="7" t="n">
        <v>4.2</v>
      </c>
      <c r="Q16" s="7" t="inlineStr">
        <is>
          <t>top rise good</t>
        </is>
      </c>
    </row>
    <row r="17">
      <c r="H17" s="7" t="n"/>
      <c r="I17" s="7" t="n"/>
      <c r="J17" s="7" t="n">
        <v>2</v>
      </c>
      <c r="K17" s="7" t="n">
        <v>50</v>
      </c>
      <c r="L17" s="7" t="n">
        <v>10.2</v>
      </c>
      <c r="M17" s="7" t="inlineStr">
        <is>
          <t>dark edge</t>
        </is>
      </c>
      <c r="N17" s="7" t="inlineStr">
        <is>
          <t>N</t>
        </is>
      </c>
      <c r="O17" s="7" t="n">
        <v>3.8</v>
      </c>
      <c r="P17" s="7" t="n">
        <v>3.6</v>
      </c>
      <c r="Q17" s="7" t="inlineStr">
        <is>
          <t>edge darker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50.4</v>
      </c>
      <c r="L18" s="7" t="n">
        <v>10.9</v>
      </c>
      <c r="M18" s="7" t="inlineStr">
        <is>
          <t>pale</t>
        </is>
      </c>
      <c r="N18" s="7" t="inlineStr">
        <is>
          <t>Y</t>
        </is>
      </c>
      <c r="O18" s="7" t="n">
        <v>4</v>
      </c>
      <c r="P18" s="7" t="n">
        <v>3.8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50.2</v>
      </c>
      <c r="L19" s="7" t="n">
        <v>10.6</v>
      </c>
      <c r="M19" s="7" t="inlineStr">
        <is>
          <t>pale</t>
        </is>
      </c>
      <c r="N19" s="7" t="inlineStr">
        <is>
          <t>Y</t>
        </is>
      </c>
      <c r="O19" s="7" t="n">
        <v>4.2</v>
      </c>
      <c r="P19" s="7" t="n">
        <v>3.8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49</v>
      </c>
      <c r="L20" s="7" t="n">
        <v>11.1</v>
      </c>
      <c r="M20" s="7" t="inlineStr">
        <is>
          <t>pale</t>
        </is>
      </c>
      <c r="N20" s="7" t="inlineStr">
        <is>
          <t>Y</t>
        </is>
      </c>
      <c r="O20" s="7" t="n">
        <v>3.8</v>
      </c>
      <c r="P20" s="7" t="n">
        <v>3.7</v>
      </c>
      <c r="Q20" s="7" t="inlineStr">
        <is>
          <t>sheet note</t>
        </is>
      </c>
    </row>
    <row r="21">
      <c r="H21" s="7" t="n"/>
      <c r="I21" s="7" t="n"/>
      <c r="J21" s="7" t="n">
        <v>2</v>
      </c>
      <c r="K21" s="7" t="n">
        <v>50.1</v>
      </c>
      <c r="L21" s="7" t="n">
        <v>10.5</v>
      </c>
      <c r="M21" s="7" t="inlineStr">
        <is>
          <t>golden-brown</t>
        </is>
      </c>
      <c r="N21" s="7" t="inlineStr">
        <is>
          <t>N</t>
        </is>
      </c>
      <c r="O21" s="7" t="n">
        <v>4.1</v>
      </c>
      <c r="P21" s="7" t="n">
        <v>4</v>
      </c>
      <c r="Q21" s="7" t="inlineStr">
        <is>
          <t>-</t>
        </is>
      </c>
    </row>
    <row r="22">
      <c r="H22" s="7" t="n">
        <v>6</v>
      </c>
      <c r="I22" s="7" t="inlineStr">
        <is>
          <t>올리브토핑</t>
        </is>
      </c>
      <c r="J22" s="7" t="n">
        <v>1</v>
      </c>
      <c r="K22" s="7" t="n">
        <v>50.2</v>
      </c>
      <c r="L22" s="7" t="n">
        <v>10.9</v>
      </c>
      <c r="M22" s="7" t="inlineStr">
        <is>
          <t>pale</t>
        </is>
      </c>
      <c r="N22" s="7" t="inlineStr">
        <is>
          <t>N</t>
        </is>
      </c>
      <c r="O22" s="7" t="n">
        <v>4</v>
      </c>
      <c r="P22" s="7" t="n">
        <v>3.5</v>
      </c>
      <c r="Q22" s="7" t="inlineStr">
        <is>
          <t>sheet note</t>
        </is>
      </c>
    </row>
    <row r="23">
      <c r="H23" s="7" t="n"/>
      <c r="I23" s="7" t="n"/>
      <c r="J23" s="7" t="n">
        <v>2</v>
      </c>
      <c r="K23" s="7" t="n">
        <v>50</v>
      </c>
      <c r="L23" s="7" t="n">
        <v>10.9</v>
      </c>
      <c r="M23" s="7" t="inlineStr">
        <is>
          <t>dark edge</t>
        </is>
      </c>
      <c r="N23" s="7" t="inlineStr">
        <is>
          <t>Y</t>
        </is>
      </c>
      <c r="O23" s="7" t="n">
        <v>4.4</v>
      </c>
      <c r="P23" s="7" t="n">
        <v>4</v>
      </c>
      <c r="Q23" s="7" t="inlineStr">
        <is>
          <t>edge darker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60.3</v>
      </c>
      <c r="L24" s="7" t="n">
        <v>12.1</v>
      </c>
      <c r="M24" s="7" t="inlineStr">
        <is>
          <t>pale</t>
        </is>
      </c>
      <c r="N24" s="7" t="inlineStr">
        <is>
          <t>N</t>
        </is>
      </c>
      <c r="O24" s="7" t="n">
        <v>3.5</v>
      </c>
      <c r="P24" s="7" t="n">
        <v>5.1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60.4</v>
      </c>
      <c r="L25" s="7" t="n">
        <v>12</v>
      </c>
      <c r="M25" s="7" t="inlineStr">
        <is>
          <t>dark edge</t>
        </is>
      </c>
      <c r="N25" s="7" t="inlineStr">
        <is>
          <t>Y</t>
        </is>
      </c>
      <c r="O25" s="7" t="n">
        <v>3.6</v>
      </c>
      <c r="P25" s="7" t="n">
        <v>5.5</v>
      </c>
      <c r="Q25" s="7" t="inlineStr">
        <is>
          <t>edge darker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59.4</v>
      </c>
      <c r="L26" s="7" t="n">
        <v>11.8</v>
      </c>
      <c r="M26" s="7" t="inlineStr">
        <is>
          <t>golden-brown</t>
        </is>
      </c>
      <c r="N26" s="7" t="inlineStr">
        <is>
          <t>N</t>
        </is>
      </c>
      <c r="O26" s="7" t="n">
        <v>3.9</v>
      </c>
      <c r="P26" s="7" t="n">
        <v>5.2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60.8</v>
      </c>
      <c r="L27" s="7" t="n">
        <v>12</v>
      </c>
      <c r="M27" s="7" t="inlineStr">
        <is>
          <t>dark edge</t>
        </is>
      </c>
      <c r="N27" s="7" t="inlineStr">
        <is>
          <t>N</t>
        </is>
      </c>
      <c r="O27" s="7" t="n">
        <v>3.9</v>
      </c>
      <c r="P27" s="7" t="n">
        <v>5.8</v>
      </c>
      <c r="Q27" s="7" t="inlineStr">
        <is>
          <t>edge darker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70</v>
      </c>
      <c r="L28" s="7" t="n">
        <v>13.4</v>
      </c>
      <c r="M28" s="7" t="inlineStr">
        <is>
          <t>golden</t>
        </is>
      </c>
      <c r="N28" s="7" t="inlineStr">
        <is>
          <t>Y</t>
        </is>
      </c>
      <c r="O28" s="7" t="n">
        <v>3.6</v>
      </c>
      <c r="P28" s="7" t="n">
        <v>7.3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71.2</v>
      </c>
      <c r="L29" s="7" t="n">
        <v>13.3</v>
      </c>
      <c r="M29" s="7" t="inlineStr">
        <is>
          <t>dark edge</t>
        </is>
      </c>
      <c r="N29" s="7" t="inlineStr">
        <is>
          <t>N</t>
        </is>
      </c>
      <c r="O29" s="7" t="n">
        <v>3.6</v>
      </c>
      <c r="P29" s="7" t="n">
        <v>7.3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70.7</v>
      </c>
      <c r="L30" s="7" t="n">
        <v>13.8</v>
      </c>
      <c r="M30" s="7" t="inlineStr">
        <is>
          <t>dark edge</t>
        </is>
      </c>
      <c r="N30" s="7" t="inlineStr">
        <is>
          <t>Y</t>
        </is>
      </c>
      <c r="O30" s="7" t="n">
        <v>3.7</v>
      </c>
      <c r="P30" s="7" t="n">
        <v>7.2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71.40000000000001</v>
      </c>
      <c r="L31" s="7" t="n">
        <v>13.2</v>
      </c>
      <c r="M31" s="7" t="inlineStr">
        <is>
          <t>dark edge</t>
        </is>
      </c>
      <c r="N31" s="7" t="inlineStr">
        <is>
          <t>N</t>
        </is>
      </c>
      <c r="O31" s="7" t="n">
        <v>3.7</v>
      </c>
      <c r="P31" s="7" t="n">
        <v>7.4</v>
      </c>
      <c r="Q31" s="7" t="inlineStr">
        <is>
          <t>top rise good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70.09999999999999</v>
      </c>
      <c r="L32" s="7" t="n">
        <v>13.6</v>
      </c>
      <c r="M32" s="7" t="inlineStr">
        <is>
          <t>golden-brown</t>
        </is>
      </c>
      <c r="N32" s="7" t="inlineStr">
        <is>
          <t>N</t>
        </is>
      </c>
      <c r="O32" s="7" t="n">
        <v>3.1</v>
      </c>
      <c r="P32" s="7" t="n">
        <v>7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71.3</v>
      </c>
      <c r="L33" s="7" t="n">
        <v>13.5</v>
      </c>
      <c r="M33" s="7" t="inlineStr">
        <is>
          <t>dark edge</t>
        </is>
      </c>
      <c r="N33" s="7" t="inlineStr">
        <is>
          <t>N</t>
        </is>
      </c>
      <c r="O33" s="7" t="n">
        <v>3.4</v>
      </c>
      <c r="P33" s="7" t="n">
        <v>7.2</v>
      </c>
      <c r="Q33" s="7" t="inlineStr">
        <is>
          <t>center moist</t>
        </is>
      </c>
    </row>
    <row r="34">
      <c r="H34" s="7" t="n">
        <v>12</v>
      </c>
      <c r="I34" s="7" t="inlineStr">
        <is>
          <t>올리브토핑</t>
        </is>
      </c>
      <c r="J34" s="7" t="n">
        <v>1</v>
      </c>
      <c r="K34" s="7" t="n">
        <v>70.7</v>
      </c>
      <c r="L34" s="7" t="n">
        <v>13.6</v>
      </c>
      <c r="M34" s="7" t="inlineStr">
        <is>
          <t>dark edge</t>
        </is>
      </c>
      <c r="N34" s="7" t="inlineStr">
        <is>
          <t>Y</t>
        </is>
      </c>
      <c r="O34" s="7" t="n">
        <v>3.3</v>
      </c>
      <c r="P34" s="7" t="n">
        <v>7.4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71.09999999999999</v>
      </c>
      <c r="L35" s="7" t="n">
        <v>13.2</v>
      </c>
      <c r="M35" s="7" t="inlineStr">
        <is>
          <t>pale</t>
        </is>
      </c>
      <c r="N35" s="7" t="inlineStr">
        <is>
          <t>N</t>
        </is>
      </c>
      <c r="O35" s="7" t="n">
        <v>3.6</v>
      </c>
      <c r="P35" s="7" t="n">
        <v>7.4</v>
      </c>
      <c r="Q35" s="7" t="inlineStr">
        <is>
          <t>-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81.7</v>
      </c>
      <c r="L36" s="7" t="n">
        <v>15.3</v>
      </c>
      <c r="M36" s="7" t="inlineStr">
        <is>
          <t>golden</t>
        </is>
      </c>
      <c r="N36" s="7" t="inlineStr">
        <is>
          <t>N</t>
        </is>
      </c>
      <c r="O36" s="7" t="n">
        <v>3</v>
      </c>
      <c r="P36" s="7" t="n">
        <v>8.699999999999999</v>
      </c>
      <c r="Q36" s="7" t="inlineStr">
        <is>
          <t>-</t>
        </is>
      </c>
    </row>
    <row r="37">
      <c r="H37" s="7" t="n"/>
      <c r="I37" s="7" t="n"/>
      <c r="J37" s="7" t="n">
        <v>2</v>
      </c>
      <c r="K37" s="7" t="n">
        <v>80.8</v>
      </c>
      <c r="L37" s="7" t="n">
        <v>15.2</v>
      </c>
      <c r="M37" s="7" t="inlineStr">
        <is>
          <t>golden</t>
        </is>
      </c>
      <c r="N37" s="7" t="inlineStr">
        <is>
          <t>N</t>
        </is>
      </c>
      <c r="O37" s="7" t="n">
        <v>2.8</v>
      </c>
      <c r="P37" s="7" t="n">
        <v>8.4</v>
      </c>
      <c r="Q37" s="7" t="inlineStr">
        <is>
          <t>center moist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81</v>
      </c>
      <c r="L38" s="7" t="n">
        <v>15</v>
      </c>
      <c r="M38" s="7" t="inlineStr">
        <is>
          <t>golden</t>
        </is>
      </c>
      <c r="N38" s="7" t="inlineStr">
        <is>
          <t>N</t>
        </is>
      </c>
      <c r="O38" s="7" t="n">
        <v>3.1</v>
      </c>
      <c r="P38" s="7" t="n">
        <v>8.4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81</v>
      </c>
      <c r="L39" s="7" t="n">
        <v>15.1</v>
      </c>
      <c r="M39" s="7" t="inlineStr">
        <is>
          <t>golden</t>
        </is>
      </c>
      <c r="N39" s="7" t="inlineStr">
        <is>
          <t>N</t>
        </is>
      </c>
      <c r="O39" s="7" t="n">
        <v>3.3</v>
      </c>
      <c r="P39" s="7" t="n">
        <v>8.699999999999999</v>
      </c>
      <c r="Q39" s="7" t="inlineStr">
        <is>
          <t>-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90.8</v>
      </c>
      <c r="L40" s="7" t="n">
        <v>16.6</v>
      </c>
      <c r="M40" s="7" t="inlineStr">
        <is>
          <t>dark edge</t>
        </is>
      </c>
      <c r="N40" s="7" t="inlineStr">
        <is>
          <t>N</t>
        </is>
      </c>
      <c r="O40" s="7" t="n">
        <v>3.1</v>
      </c>
      <c r="P40" s="7" t="n">
        <v>10.7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92.7</v>
      </c>
      <c r="L41" s="7" t="n">
        <v>16.8</v>
      </c>
      <c r="M41" s="7" t="inlineStr">
        <is>
          <t>golden</t>
        </is>
      </c>
      <c r="N41" s="7" t="inlineStr">
        <is>
          <t>N</t>
        </is>
      </c>
      <c r="O41" s="7" t="n">
        <v>2.7</v>
      </c>
      <c r="P41" s="7" t="n">
        <v>10.3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91.59999999999999</v>
      </c>
      <c r="L42" s="7" t="n">
        <v>16.3</v>
      </c>
      <c r="M42" s="7" t="inlineStr">
        <is>
          <t>golden-brown</t>
        </is>
      </c>
      <c r="N42" s="7" t="inlineStr">
        <is>
          <t>N</t>
        </is>
      </c>
      <c r="O42" s="7" t="n">
        <v>2.8</v>
      </c>
      <c r="P42" s="7" t="n">
        <v>10.6</v>
      </c>
      <c r="Q42" s="7" t="inlineStr">
        <is>
          <t>사진 참조</t>
        </is>
      </c>
    </row>
    <row r="43">
      <c r="H43" s="7" t="n"/>
      <c r="I43" s="7" t="n"/>
      <c r="J43" s="7" t="n">
        <v>2</v>
      </c>
      <c r="K43" s="7" t="n">
        <v>91.5</v>
      </c>
      <c r="L43" s="7" t="n">
        <v>16.7</v>
      </c>
      <c r="M43" s="7" t="inlineStr">
        <is>
          <t>dark edge</t>
        </is>
      </c>
      <c r="N43" s="7" t="inlineStr">
        <is>
          <t>Y</t>
        </is>
      </c>
      <c r="O43" s="7" t="n">
        <v>3.1</v>
      </c>
      <c r="P43" s="7" t="n">
        <v>10.1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91.90000000000001</v>
      </c>
      <c r="L44" s="7" t="n">
        <v>16.3</v>
      </c>
      <c r="M44" s="7" t="inlineStr">
        <is>
          <t>golden</t>
        </is>
      </c>
      <c r="N44" s="7" t="inlineStr">
        <is>
          <t>Y</t>
        </is>
      </c>
      <c r="O44" s="7" t="n">
        <v>2.7</v>
      </c>
      <c r="P44" s="7" t="n">
        <v>10.8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91.59999999999999</v>
      </c>
      <c r="L45" s="7" t="n">
        <v>16.1</v>
      </c>
      <c r="M45" s="7" t="inlineStr">
        <is>
          <t>golden</t>
        </is>
      </c>
      <c r="N45" s="7" t="inlineStr">
        <is>
          <t>N</t>
        </is>
      </c>
      <c r="O45" s="7" t="n">
        <v>3</v>
      </c>
      <c r="P45" s="7" t="n">
        <v>10.8</v>
      </c>
      <c r="Q45" s="7" t="inlineStr">
        <is>
          <t>top rise good</t>
        </is>
      </c>
    </row>
    <row r="46">
      <c r="H46" s="7" t="n">
        <v>18</v>
      </c>
      <c r="I46" s="7" t="inlineStr">
        <is>
          <t>올리브토핑</t>
        </is>
      </c>
      <c r="J46" s="7" t="n">
        <v>1</v>
      </c>
      <c r="K46" s="7" t="n">
        <v>92.09999999999999</v>
      </c>
      <c r="L46" s="7" t="n">
        <v>16.6</v>
      </c>
      <c r="M46" s="7" t="inlineStr">
        <is>
          <t>pale</t>
        </is>
      </c>
      <c r="N46" s="7" t="inlineStr">
        <is>
          <t>Y</t>
        </is>
      </c>
      <c r="O46" s="7" t="n">
        <v>2.4</v>
      </c>
      <c r="P46" s="7" t="n">
        <v>10.1</v>
      </c>
      <c r="Q46" s="7" t="inlineStr">
        <is>
          <t>-</t>
        </is>
      </c>
    </row>
    <row r="47">
      <c r="H47" s="7" t="n"/>
      <c r="I47" s="7" t="n"/>
      <c r="J47" s="7" t="n">
        <v>2</v>
      </c>
      <c r="K47" s="7" t="n">
        <v>91.8</v>
      </c>
      <c r="L47" s="7" t="n">
        <v>16</v>
      </c>
      <c r="M47" s="7" t="inlineStr">
        <is>
          <t>golden-brown</t>
        </is>
      </c>
      <c r="N47" s="7" t="inlineStr">
        <is>
          <t>N</t>
        </is>
      </c>
      <c r="O47" s="7" t="n">
        <v>2.8</v>
      </c>
      <c r="P47" s="7" t="n">
        <v>10.3</v>
      </c>
      <c r="Q47" s="7" t="inlineStr">
        <is>
          <t>edge darker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18.2</v>
      </c>
      <c r="M48" s="7" t="inlineStr">
        <is>
          <t>pale</t>
        </is>
      </c>
      <c r="N48" s="7" t="inlineStr">
        <is>
          <t>N</t>
        </is>
      </c>
      <c r="O48" s="7" t="n">
        <v>2.6</v>
      </c>
      <c r="P48" s="7" t="n">
        <v>12.1</v>
      </c>
      <c r="Q48" s="7" t="inlineStr">
        <is>
          <t>center moist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18.2</v>
      </c>
      <c r="M49" s="7" t="inlineStr">
        <is>
          <t>golden-brown</t>
        </is>
      </c>
      <c r="N49" s="7" t="inlineStr">
        <is>
          <t>N</t>
        </is>
      </c>
      <c r="O49" s="7" t="n">
        <v>2.5</v>
      </c>
      <c r="P49" s="7" t="n">
        <v>12.4</v>
      </c>
      <c r="Q49" s="7" t="inlineStr">
        <is>
          <t>-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17.8</v>
      </c>
      <c r="M50" s="7" t="inlineStr">
        <is>
          <t>golden</t>
        </is>
      </c>
      <c r="N50" s="7" t="inlineStr">
        <is>
          <t>N</t>
        </is>
      </c>
      <c r="O50" s="7" t="n">
        <v>2.3</v>
      </c>
      <c r="P50" s="7" t="n">
        <v>12.1</v>
      </c>
      <c r="Q50" s="7" t="inlineStr">
        <is>
          <t>edge darker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18.1</v>
      </c>
      <c r="M51" s="7" t="inlineStr">
        <is>
          <t>golden-brown</t>
        </is>
      </c>
      <c r="N51" s="7" t="inlineStr">
        <is>
          <t>N</t>
        </is>
      </c>
      <c r="O51" s="7" t="n">
        <v>2.3</v>
      </c>
      <c r="P51" s="7" t="n">
        <v>11.8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올리브 / Oven 195℃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올리브</t>
        </is>
      </c>
      <c r="D6" s="3" t="inlineStr">
        <is>
          <t>오븐설정</t>
        </is>
      </c>
      <c r="E6" s="4" t="inlineStr">
        <is>
          <t>195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2026-09-13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29.4</v>
      </c>
      <c r="L8" s="7" t="n">
        <v>8</v>
      </c>
      <c r="M8" s="7" t="inlineStr">
        <is>
          <t>golden</t>
        </is>
      </c>
      <c r="N8" s="7" t="inlineStr">
        <is>
          <t>N</t>
        </is>
      </c>
      <c r="O8" s="7" t="n">
        <v>4.8</v>
      </c>
      <c r="P8" s="7" t="n">
        <v>1</v>
      </c>
      <c r="Q8" s="7" t="inlineStr">
        <is>
          <t>사진 참조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29.9</v>
      </c>
      <c r="L9" s="7" t="n">
        <v>8.300000000000001</v>
      </c>
      <c r="M9" s="7" t="inlineStr">
        <is>
          <t>dark edge</t>
        </is>
      </c>
      <c r="N9" s="7" t="inlineStr">
        <is>
          <t>Y</t>
        </is>
      </c>
      <c r="O9" s="7" t="n">
        <v>4.7</v>
      </c>
      <c r="P9" s="7" t="n">
        <v>1</v>
      </c>
      <c r="Q9" s="7" t="inlineStr">
        <is>
          <t>사진 참조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29.9</v>
      </c>
      <c r="L10" s="7" t="n">
        <v>8.199999999999999</v>
      </c>
      <c r="M10" s="7" t="inlineStr">
        <is>
          <t>pale</t>
        </is>
      </c>
      <c r="N10" s="7" t="inlineStr">
        <is>
          <t>N</t>
        </is>
      </c>
      <c r="O10" s="7" t="n">
        <v>4.5</v>
      </c>
      <c r="P10" s="7" t="n">
        <v>1</v>
      </c>
      <c r="Q10" s="7" t="inlineStr">
        <is>
          <t>edge darker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30.5</v>
      </c>
      <c r="L11" s="7" t="n">
        <v>7.9</v>
      </c>
      <c r="M11" s="7" t="inlineStr">
        <is>
          <t>golden-brown</t>
        </is>
      </c>
      <c r="N11" s="7" t="inlineStr">
        <is>
          <t>Y</t>
        </is>
      </c>
      <c r="O11" s="7" t="n">
        <v>4.7</v>
      </c>
      <c r="P11" s="7" t="n">
        <v>1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39.6</v>
      </c>
      <c r="L12" s="7" t="n">
        <v>9</v>
      </c>
      <c r="M12" s="7" t="inlineStr">
        <is>
          <t>golden-brown</t>
        </is>
      </c>
      <c r="N12" s="7" t="inlineStr">
        <is>
          <t>N</t>
        </is>
      </c>
      <c r="O12" s="7" t="n">
        <v>4.4</v>
      </c>
      <c r="P12" s="7" t="n">
        <v>2.4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40.4</v>
      </c>
      <c r="L13" s="7" t="n">
        <v>9.300000000000001</v>
      </c>
      <c r="M13" s="7" t="inlineStr">
        <is>
          <t>golden</t>
        </is>
      </c>
      <c r="N13" s="7" t="inlineStr">
        <is>
          <t>N</t>
        </is>
      </c>
      <c r="O13" s="7" t="n">
        <v>4.1</v>
      </c>
      <c r="P13" s="7" t="n">
        <v>2.4</v>
      </c>
      <c r="Q13" s="7" t="inlineStr">
        <is>
          <t>top rise good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올리브토핑</t>
        </is>
      </c>
      <c r="J14" s="7" t="n">
        <v>1</v>
      </c>
      <c r="K14" s="7" t="n">
        <v>40</v>
      </c>
      <c r="L14" s="7" t="n">
        <v>9.199999999999999</v>
      </c>
      <c r="M14" s="7" t="inlineStr">
        <is>
          <t>pale</t>
        </is>
      </c>
      <c r="N14" s="7" t="inlineStr">
        <is>
          <t>N</t>
        </is>
      </c>
      <c r="O14" s="7" t="n">
        <v>4.2</v>
      </c>
      <c r="P14" s="7" t="n">
        <v>2.1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40.3</v>
      </c>
      <c r="L15" s="7" t="n">
        <v>9.6</v>
      </c>
      <c r="M15" s="7" t="inlineStr">
        <is>
          <t>golden-brown</t>
        </is>
      </c>
      <c r="N15" s="7" t="inlineStr">
        <is>
          <t>N</t>
        </is>
      </c>
      <c r="O15" s="7" t="n">
        <v>4.1</v>
      </c>
      <c r="P15" s="7" t="n">
        <v>2.6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51</v>
      </c>
      <c r="L16" s="7" t="n">
        <v>10.4</v>
      </c>
      <c r="M16" s="7" t="inlineStr">
        <is>
          <t>golden-brown</t>
        </is>
      </c>
      <c r="N16" s="7" t="inlineStr">
        <is>
          <t>N</t>
        </is>
      </c>
      <c r="O16" s="7" t="n">
        <v>3.9</v>
      </c>
      <c r="P16" s="7" t="n">
        <v>4.3</v>
      </c>
      <c r="Q16" s="7" t="inlineStr">
        <is>
          <t>sheet note</t>
        </is>
      </c>
    </row>
    <row r="17">
      <c r="H17" s="7" t="n"/>
      <c r="I17" s="7" t="n"/>
      <c r="J17" s="7" t="n">
        <v>2</v>
      </c>
      <c r="K17" s="7" t="n">
        <v>51.7</v>
      </c>
      <c r="L17" s="7" t="n">
        <v>11.2</v>
      </c>
      <c r="M17" s="7" t="inlineStr">
        <is>
          <t>dark edge</t>
        </is>
      </c>
      <c r="N17" s="7" t="inlineStr">
        <is>
          <t>Y</t>
        </is>
      </c>
      <c r="O17" s="7" t="n">
        <v>4.4</v>
      </c>
      <c r="P17" s="7" t="n">
        <v>4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51.4</v>
      </c>
      <c r="L18" s="7" t="n">
        <v>10.4</v>
      </c>
      <c r="M18" s="7" t="inlineStr">
        <is>
          <t>golden</t>
        </is>
      </c>
      <c r="N18" s="7" t="inlineStr">
        <is>
          <t>N</t>
        </is>
      </c>
      <c r="O18" s="7" t="n">
        <v>4.1</v>
      </c>
      <c r="P18" s="7" t="n">
        <v>4.2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50.6</v>
      </c>
      <c r="L19" s="7" t="n">
        <v>10.3</v>
      </c>
      <c r="M19" s="7" t="inlineStr">
        <is>
          <t>golden-brown</t>
        </is>
      </c>
      <c r="N19" s="7" t="inlineStr">
        <is>
          <t>N</t>
        </is>
      </c>
      <c r="O19" s="7" t="n">
        <v>4</v>
      </c>
      <c r="P19" s="7" t="n">
        <v>4.2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50.7</v>
      </c>
      <c r="L20" s="7" t="n">
        <v>10.4</v>
      </c>
      <c r="M20" s="7" t="inlineStr">
        <is>
          <t>pale</t>
        </is>
      </c>
      <c r="N20" s="7" t="inlineStr">
        <is>
          <t>N</t>
        </is>
      </c>
      <c r="O20" s="7" t="n">
        <v>3.8</v>
      </c>
      <c r="P20" s="7" t="n">
        <v>4.2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51.1</v>
      </c>
      <c r="L21" s="7" t="n">
        <v>10.8</v>
      </c>
      <c r="M21" s="7" t="inlineStr">
        <is>
          <t>pale</t>
        </is>
      </c>
      <c r="N21" s="7" t="inlineStr">
        <is>
          <t>N</t>
        </is>
      </c>
      <c r="O21" s="7" t="n">
        <v>4</v>
      </c>
      <c r="P21" s="7" t="n">
        <v>4.4</v>
      </c>
      <c r="Q21" s="7" t="inlineStr">
        <is>
          <t>top rise good</t>
        </is>
      </c>
    </row>
    <row r="22">
      <c r="H22" s="7" t="n">
        <v>6</v>
      </c>
      <c r="I22" s="7" t="inlineStr">
        <is>
          <t>올리브토핑</t>
        </is>
      </c>
      <c r="J22" s="7" t="n">
        <v>1</v>
      </c>
      <c r="K22" s="7" t="n">
        <v>50.5</v>
      </c>
      <c r="L22" s="7" t="n">
        <v>10.9</v>
      </c>
      <c r="M22" s="7" t="inlineStr">
        <is>
          <t>golden</t>
        </is>
      </c>
      <c r="N22" s="7" t="inlineStr">
        <is>
          <t>N</t>
        </is>
      </c>
      <c r="O22" s="7" t="n">
        <v>3.8</v>
      </c>
      <c r="P22" s="7" t="n">
        <v>4.2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50.4</v>
      </c>
      <c r="L23" s="7" t="n">
        <v>11.1</v>
      </c>
      <c r="M23" s="7" t="inlineStr">
        <is>
          <t>pale</t>
        </is>
      </c>
      <c r="N23" s="7" t="inlineStr">
        <is>
          <t>N</t>
        </is>
      </c>
      <c r="O23" s="7" t="n">
        <v>4</v>
      </c>
      <c r="P23" s="7" t="n">
        <v>3.7</v>
      </c>
      <c r="Q23" s="7" t="inlineStr">
        <is>
          <t>edge darker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61.9</v>
      </c>
      <c r="L24" s="7" t="n">
        <v>12.1</v>
      </c>
      <c r="M24" s="7" t="inlineStr">
        <is>
          <t>pale</t>
        </is>
      </c>
      <c r="N24" s="7" t="inlineStr">
        <is>
          <t>N</t>
        </is>
      </c>
      <c r="O24" s="7" t="n">
        <v>4.1</v>
      </c>
      <c r="P24" s="7" t="n">
        <v>6</v>
      </c>
      <c r="Q24" s="7" t="inlineStr">
        <is>
          <t>top rise good</t>
        </is>
      </c>
    </row>
    <row r="25">
      <c r="H25" s="7" t="n"/>
      <c r="I25" s="7" t="n"/>
      <c r="J25" s="7" t="n">
        <v>2</v>
      </c>
      <c r="K25" s="7" t="n">
        <v>61</v>
      </c>
      <c r="L25" s="7" t="n">
        <v>12.1</v>
      </c>
      <c r="M25" s="7" t="inlineStr">
        <is>
          <t>dark edge</t>
        </is>
      </c>
      <c r="N25" s="7" t="inlineStr">
        <is>
          <t>Y</t>
        </is>
      </c>
      <c r="O25" s="7" t="n">
        <v>3.7</v>
      </c>
      <c r="P25" s="7" t="n">
        <v>5.5</v>
      </c>
      <c r="Q25" s="7" t="inlineStr">
        <is>
          <t>사진 참조</t>
        </is>
      </c>
    </row>
    <row r="26">
      <c r="H26" s="7" t="n">
        <v>9</v>
      </c>
      <c r="I26" s="7" t="inlineStr">
        <is>
          <t>올리브토핑</t>
        </is>
      </c>
      <c r="J26" s="7" t="n">
        <v>1</v>
      </c>
      <c r="K26" s="7" t="n">
        <v>61.8</v>
      </c>
      <c r="L26" s="7" t="n">
        <v>12.3</v>
      </c>
      <c r="M26" s="7" t="inlineStr">
        <is>
          <t>golden</t>
        </is>
      </c>
      <c r="N26" s="7" t="inlineStr">
        <is>
          <t>N</t>
        </is>
      </c>
      <c r="O26" s="7" t="n">
        <v>3.8</v>
      </c>
      <c r="P26" s="7" t="n">
        <v>5.5</v>
      </c>
      <c r="Q26" s="7" t="inlineStr">
        <is>
          <t>-</t>
        </is>
      </c>
    </row>
    <row r="27">
      <c r="H27" s="7" t="n"/>
      <c r="I27" s="7" t="n"/>
      <c r="J27" s="7" t="n">
        <v>2</v>
      </c>
      <c r="K27" s="7" t="n">
        <v>61.5</v>
      </c>
      <c r="L27" s="7" t="n">
        <v>12.1</v>
      </c>
      <c r="M27" s="7" t="inlineStr">
        <is>
          <t>pale</t>
        </is>
      </c>
      <c r="N27" s="7" t="inlineStr">
        <is>
          <t>Y</t>
        </is>
      </c>
      <c r="O27" s="7" t="n">
        <v>4</v>
      </c>
      <c r="P27" s="7" t="n">
        <v>5.4</v>
      </c>
      <c r="Q27" s="7" t="inlineStr">
        <is>
          <t>edge darker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71.5</v>
      </c>
      <c r="L28" s="7" t="n">
        <v>13.7</v>
      </c>
      <c r="M28" s="7" t="inlineStr">
        <is>
          <t>dark edge</t>
        </is>
      </c>
      <c r="N28" s="7" t="inlineStr">
        <is>
          <t>N</t>
        </is>
      </c>
      <c r="O28" s="7" t="n">
        <v>3.5</v>
      </c>
      <c r="P28" s="7" t="n">
        <v>7.5</v>
      </c>
      <c r="Q28" s="7" t="inlineStr">
        <is>
          <t>edge darker</t>
        </is>
      </c>
    </row>
    <row r="29">
      <c r="H29" s="7" t="n"/>
      <c r="I29" s="7" t="n"/>
      <c r="J29" s="7" t="n">
        <v>2</v>
      </c>
      <c r="K29" s="7" t="n">
        <v>72.5</v>
      </c>
      <c r="L29" s="7" t="n">
        <v>13.6</v>
      </c>
      <c r="M29" s="7" t="inlineStr">
        <is>
          <t>golden</t>
        </is>
      </c>
      <c r="N29" s="7" t="inlineStr">
        <is>
          <t>N</t>
        </is>
      </c>
      <c r="O29" s="7" t="n">
        <v>3.4</v>
      </c>
      <c r="P29" s="7" t="n">
        <v>7.6</v>
      </c>
      <c r="Q29" s="7" t="inlineStr">
        <is>
          <t>center moist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71.09999999999999</v>
      </c>
      <c r="L30" s="7" t="n">
        <v>14</v>
      </c>
      <c r="M30" s="7" t="inlineStr">
        <is>
          <t>golden-brown</t>
        </is>
      </c>
      <c r="N30" s="7" t="inlineStr">
        <is>
          <t>N</t>
        </is>
      </c>
      <c r="O30" s="7" t="n">
        <v>3.3</v>
      </c>
      <c r="P30" s="7" t="n">
        <v>7.4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72.90000000000001</v>
      </c>
      <c r="L31" s="7" t="n">
        <v>13.4</v>
      </c>
      <c r="M31" s="7" t="inlineStr">
        <is>
          <t>golden-brown</t>
        </is>
      </c>
      <c r="N31" s="7" t="inlineStr">
        <is>
          <t>Y</t>
        </is>
      </c>
      <c r="O31" s="7" t="n">
        <v>3.3</v>
      </c>
      <c r="P31" s="7" t="n">
        <v>7</v>
      </c>
      <c r="Q31" s="7" t="inlineStr">
        <is>
          <t>center moist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72</v>
      </c>
      <c r="L32" s="7" t="n">
        <v>13.3</v>
      </c>
      <c r="M32" s="7" t="inlineStr">
        <is>
          <t>pale</t>
        </is>
      </c>
      <c r="N32" s="7" t="inlineStr">
        <is>
          <t>Y</t>
        </is>
      </c>
      <c r="O32" s="7" t="n">
        <v>3.8</v>
      </c>
      <c r="P32" s="7" t="n">
        <v>7.6</v>
      </c>
      <c r="Q32" s="7" t="inlineStr">
        <is>
          <t>사진 참조</t>
        </is>
      </c>
    </row>
    <row r="33">
      <c r="H33" s="7" t="n"/>
      <c r="I33" s="7" t="n"/>
      <c r="J33" s="7" t="n">
        <v>2</v>
      </c>
      <c r="K33" s="7" t="n">
        <v>72.90000000000001</v>
      </c>
      <c r="L33" s="7" t="n">
        <v>13.7</v>
      </c>
      <c r="M33" s="7" t="inlineStr">
        <is>
          <t>golden-brown</t>
        </is>
      </c>
      <c r="N33" s="7" t="inlineStr">
        <is>
          <t>N</t>
        </is>
      </c>
      <c r="O33" s="7" t="n">
        <v>3.6</v>
      </c>
      <c r="P33" s="7" t="n">
        <v>7.1</v>
      </c>
      <c r="Q33" s="7" t="inlineStr">
        <is>
          <t>center moist</t>
        </is>
      </c>
    </row>
    <row r="34">
      <c r="H34" s="7" t="n">
        <v>12</v>
      </c>
      <c r="I34" s="7" t="inlineStr">
        <is>
          <t>올리브토핑</t>
        </is>
      </c>
      <c r="J34" s="7" t="n">
        <v>1</v>
      </c>
      <c r="K34" s="7" t="n">
        <v>71.09999999999999</v>
      </c>
      <c r="L34" s="7" t="n">
        <v>13.5</v>
      </c>
      <c r="M34" s="7" t="inlineStr">
        <is>
          <t>golden-brown</t>
        </is>
      </c>
      <c r="N34" s="7" t="inlineStr">
        <is>
          <t>Y</t>
        </is>
      </c>
      <c r="O34" s="7" t="n">
        <v>3.6</v>
      </c>
      <c r="P34" s="7" t="n">
        <v>7.1</v>
      </c>
      <c r="Q34" s="7" t="inlineStr">
        <is>
          <t>sheet note</t>
        </is>
      </c>
    </row>
    <row r="35">
      <c r="H35" s="7" t="n"/>
      <c r="I35" s="7" t="n"/>
      <c r="J35" s="7" t="n">
        <v>2</v>
      </c>
      <c r="K35" s="7" t="n">
        <v>71.7</v>
      </c>
      <c r="L35" s="7" t="n">
        <v>13.4</v>
      </c>
      <c r="M35" s="7" t="inlineStr">
        <is>
          <t>golden</t>
        </is>
      </c>
      <c r="N35" s="7" t="inlineStr">
        <is>
          <t>Y</t>
        </is>
      </c>
      <c r="O35" s="7" t="n">
        <v>3.7</v>
      </c>
      <c r="P35" s="7" t="n">
        <v>7.2</v>
      </c>
      <c r="Q35" s="7" t="inlineStr">
        <is>
          <t>edge darker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81.7</v>
      </c>
      <c r="L36" s="7" t="n">
        <v>14.9</v>
      </c>
      <c r="M36" s="7" t="inlineStr">
        <is>
          <t>pale</t>
        </is>
      </c>
      <c r="N36" s="7" t="inlineStr">
        <is>
          <t>Y</t>
        </is>
      </c>
      <c r="O36" s="7" t="n">
        <v>3.4</v>
      </c>
      <c r="P36" s="7" t="n">
        <v>9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82.5</v>
      </c>
      <c r="L37" s="7" t="n">
        <v>14.7</v>
      </c>
      <c r="M37" s="7" t="inlineStr">
        <is>
          <t>dark edge</t>
        </is>
      </c>
      <c r="N37" s="7" t="inlineStr">
        <is>
          <t>Y</t>
        </is>
      </c>
      <c r="O37" s="7" t="n">
        <v>3</v>
      </c>
      <c r="P37" s="7" t="n">
        <v>9</v>
      </c>
      <c r="Q37" s="7" t="inlineStr">
        <is>
          <t>edge darker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82.40000000000001</v>
      </c>
      <c r="L38" s="7" t="n">
        <v>15.4</v>
      </c>
      <c r="M38" s="7" t="inlineStr">
        <is>
          <t>pale</t>
        </is>
      </c>
      <c r="N38" s="7" t="inlineStr">
        <is>
          <t>N</t>
        </is>
      </c>
      <c r="O38" s="7" t="n">
        <v>3.2</v>
      </c>
      <c r="P38" s="7" t="n">
        <v>9.300000000000001</v>
      </c>
      <c r="Q38" s="7" t="inlineStr">
        <is>
          <t>-</t>
        </is>
      </c>
    </row>
    <row r="39">
      <c r="H39" s="7" t="n"/>
      <c r="I39" s="7" t="n"/>
      <c r="J39" s="7" t="n">
        <v>2</v>
      </c>
      <c r="K39" s="7" t="n">
        <v>82.59999999999999</v>
      </c>
      <c r="L39" s="7" t="n">
        <v>15.1</v>
      </c>
      <c r="M39" s="7" t="inlineStr">
        <is>
          <t>dark edge</t>
        </is>
      </c>
      <c r="N39" s="7" t="inlineStr">
        <is>
          <t>N</t>
        </is>
      </c>
      <c r="O39" s="7" t="n">
        <v>2.9</v>
      </c>
      <c r="P39" s="7" t="n">
        <v>9.4</v>
      </c>
      <c r="Q39" s="7" t="inlineStr">
        <is>
          <t>top rise good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</v>
      </c>
      <c r="L40" s="7" t="n">
        <v>16.4</v>
      </c>
      <c r="M40" s="7" t="inlineStr">
        <is>
          <t>dark edge</t>
        </is>
      </c>
      <c r="N40" s="7" t="inlineStr">
        <is>
          <t>N</t>
        </is>
      </c>
      <c r="O40" s="7" t="n">
        <v>2.8</v>
      </c>
      <c r="P40" s="7" t="n">
        <v>10.7</v>
      </c>
      <c r="Q40" s="7" t="inlineStr">
        <is>
          <t>top rise good</t>
        </is>
      </c>
    </row>
    <row r="41">
      <c r="H41" s="7" t="n"/>
      <c r="I41" s="7" t="n"/>
      <c r="J41" s="7" t="n">
        <v>2</v>
      </c>
      <c r="K41" s="7" t="n">
        <v>93.8</v>
      </c>
      <c r="L41" s="7" t="n">
        <v>16.6</v>
      </c>
      <c r="M41" s="7" t="inlineStr">
        <is>
          <t>golden</t>
        </is>
      </c>
      <c r="N41" s="7" t="inlineStr">
        <is>
          <t>N</t>
        </is>
      </c>
      <c r="O41" s="7" t="n">
        <v>2.5</v>
      </c>
      <c r="P41" s="7" t="n">
        <v>10.7</v>
      </c>
      <c r="Q41" s="7" t="inlineStr">
        <is>
          <t>-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91.90000000000001</v>
      </c>
      <c r="L42" s="7" t="n">
        <v>16.5</v>
      </c>
      <c r="M42" s="7" t="inlineStr">
        <is>
          <t>golden</t>
        </is>
      </c>
      <c r="N42" s="7" t="inlineStr">
        <is>
          <t>Y</t>
        </is>
      </c>
      <c r="O42" s="7" t="n">
        <v>2.9</v>
      </c>
      <c r="P42" s="7" t="n">
        <v>10.9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93</v>
      </c>
      <c r="L43" s="7" t="n">
        <v>16.9</v>
      </c>
      <c r="M43" s="7" t="inlineStr">
        <is>
          <t>dark edge</t>
        </is>
      </c>
      <c r="N43" s="7" t="inlineStr">
        <is>
          <t>N</t>
        </is>
      </c>
      <c r="O43" s="7" t="n">
        <v>2.6</v>
      </c>
      <c r="P43" s="7" t="n">
        <v>10.7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93.40000000000001</v>
      </c>
      <c r="L44" s="7" t="n">
        <v>16.1</v>
      </c>
      <c r="M44" s="7" t="inlineStr">
        <is>
          <t>pale</t>
        </is>
      </c>
      <c r="N44" s="7" t="inlineStr">
        <is>
          <t>N</t>
        </is>
      </c>
      <c r="O44" s="7" t="n">
        <v>2.7</v>
      </c>
      <c r="P44" s="7" t="n">
        <v>10.9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92.7</v>
      </c>
      <c r="L45" s="7" t="n">
        <v>16.4</v>
      </c>
      <c r="M45" s="7" t="inlineStr">
        <is>
          <t>golden</t>
        </is>
      </c>
      <c r="N45" s="7" t="inlineStr">
        <is>
          <t>N</t>
        </is>
      </c>
      <c r="O45" s="7" t="n">
        <v>3</v>
      </c>
      <c r="P45" s="7" t="n">
        <v>10.3</v>
      </c>
      <c r="Q45" s="7" t="inlineStr">
        <is>
          <t>top rise good</t>
        </is>
      </c>
    </row>
    <row r="46">
      <c r="H46" s="7" t="n">
        <v>18</v>
      </c>
      <c r="I46" s="7" t="inlineStr">
        <is>
          <t>올리브토핑</t>
        </is>
      </c>
      <c r="J46" s="7" t="n">
        <v>1</v>
      </c>
      <c r="K46" s="7" t="n">
        <v>92.40000000000001</v>
      </c>
      <c r="L46" s="7" t="n">
        <v>16.5</v>
      </c>
      <c r="M46" s="7" t="inlineStr">
        <is>
          <t>golden</t>
        </is>
      </c>
      <c r="N46" s="7" t="inlineStr">
        <is>
          <t>N</t>
        </is>
      </c>
      <c r="O46" s="7" t="n">
        <v>2.7</v>
      </c>
      <c r="P46" s="7" t="n">
        <v>10.3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93.3</v>
      </c>
      <c r="L47" s="7" t="n">
        <v>16.9</v>
      </c>
      <c r="M47" s="7" t="inlineStr">
        <is>
          <t>golden-brown</t>
        </is>
      </c>
      <c r="N47" s="7" t="inlineStr">
        <is>
          <t>Y</t>
        </is>
      </c>
      <c r="O47" s="7" t="n">
        <v>2.5</v>
      </c>
      <c r="P47" s="7" t="n">
        <v>10.9</v>
      </c>
      <c r="Q47" s="7" t="inlineStr">
        <is>
          <t>edge darker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17.7</v>
      </c>
      <c r="M48" s="7" t="inlineStr">
        <is>
          <t>golden</t>
        </is>
      </c>
      <c r="N48" s="7" t="inlineStr">
        <is>
          <t>N</t>
        </is>
      </c>
      <c r="O48" s="7" t="n">
        <v>2.1</v>
      </c>
      <c r="P48" s="7" t="n">
        <v>12.4</v>
      </c>
      <c r="Q48" s="7" t="inlineStr">
        <is>
          <t>사진 참조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17.9</v>
      </c>
      <c r="M49" s="7" t="inlineStr">
        <is>
          <t>dark edge</t>
        </is>
      </c>
      <c r="N49" s="7" t="inlineStr">
        <is>
          <t>Y</t>
        </is>
      </c>
      <c r="O49" s="7" t="n">
        <v>2.2</v>
      </c>
      <c r="P49" s="7" t="n">
        <v>11.9</v>
      </c>
      <c r="Q49" s="7" t="inlineStr">
        <is>
          <t>사진 참조</t>
        </is>
      </c>
    </row>
    <row r="50">
      <c r="H50" s="7" t="n">
        <v>21</v>
      </c>
      <c r="I50" s="7" t="inlineStr">
        <is>
          <t>올리브토핑</t>
        </is>
      </c>
      <c r="J50" s="7" t="n">
        <v>1</v>
      </c>
      <c r="K50" s="7" t="n">
        <v>99.5</v>
      </c>
      <c r="L50" s="7" t="n">
        <v>17.9</v>
      </c>
      <c r="M50" s="7" t="inlineStr">
        <is>
          <t>dark edge</t>
        </is>
      </c>
      <c r="N50" s="7" t="inlineStr">
        <is>
          <t>Y</t>
        </is>
      </c>
      <c r="O50" s="7" t="n">
        <v>2.5</v>
      </c>
      <c r="P50" s="7" t="n">
        <v>12.5</v>
      </c>
      <c r="Q50" s="7" t="inlineStr">
        <is>
          <t>사진 참조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17.7</v>
      </c>
      <c r="M51" s="7" t="inlineStr">
        <is>
          <t>golden</t>
        </is>
      </c>
      <c r="N51" s="7" t="inlineStr">
        <is>
          <t>N</t>
        </is>
      </c>
      <c r="O51" s="7" t="n">
        <v>2.4</v>
      </c>
      <c r="P51" s="7" t="n">
        <v>12.6</v>
      </c>
      <c r="Q51" s="7" t="inlineStr">
        <is>
          <t>사진 참조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올리브 / Oven 200℃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올리브</t>
        </is>
      </c>
      <c r="D6" s="3" t="inlineStr">
        <is>
          <t>오븐설정</t>
        </is>
      </c>
      <c r="E6" s="4" t="inlineStr">
        <is>
          <t>200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2026-09-14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30.4</v>
      </c>
      <c r="L8" s="7" t="n">
        <v>7.6</v>
      </c>
      <c r="M8" s="7" t="inlineStr">
        <is>
          <t>golden-brown</t>
        </is>
      </c>
      <c r="N8" s="7" t="inlineStr">
        <is>
          <t>Y</t>
        </is>
      </c>
      <c r="O8" s="7" t="n">
        <v>4.5</v>
      </c>
      <c r="P8" s="7" t="n">
        <v>1.1</v>
      </c>
      <c r="Q8" s="7" t="inlineStr">
        <is>
          <t>사진 참조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</v>
      </c>
      <c r="L9" s="7" t="n">
        <v>7.7</v>
      </c>
      <c r="M9" s="7" t="inlineStr">
        <is>
          <t>pale</t>
        </is>
      </c>
      <c r="N9" s="7" t="inlineStr">
        <is>
          <t>N</t>
        </is>
      </c>
      <c r="O9" s="7" t="n">
        <v>4.7</v>
      </c>
      <c r="P9" s="7" t="n">
        <v>1.4</v>
      </c>
      <c r="Q9" s="7" t="inlineStr">
        <is>
          <t>sheet note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30.5</v>
      </c>
      <c r="L10" s="7" t="n">
        <v>8.1</v>
      </c>
      <c r="M10" s="7" t="inlineStr">
        <is>
          <t>golden-brown</t>
        </is>
      </c>
      <c r="N10" s="7" t="inlineStr">
        <is>
          <t>N</t>
        </is>
      </c>
      <c r="O10" s="7" t="n">
        <v>4.6</v>
      </c>
      <c r="P10" s="7" t="n">
        <v>1.2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31.2</v>
      </c>
      <c r="L11" s="7" t="n">
        <v>8.1</v>
      </c>
      <c r="M11" s="7" t="inlineStr">
        <is>
          <t>golden</t>
        </is>
      </c>
      <c r="N11" s="7" t="inlineStr">
        <is>
          <t>Y</t>
        </is>
      </c>
      <c r="O11" s="7" t="n">
        <v>4.7</v>
      </c>
      <c r="P11" s="7" t="n">
        <v>1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41.6</v>
      </c>
      <c r="L12" s="7" t="n">
        <v>9.199999999999999</v>
      </c>
      <c r="M12" s="7" t="inlineStr">
        <is>
          <t>pale</t>
        </is>
      </c>
      <c r="N12" s="7" t="inlineStr">
        <is>
          <t>N</t>
        </is>
      </c>
      <c r="O12" s="7" t="n">
        <v>4.2</v>
      </c>
      <c r="P12" s="7" t="n">
        <v>2.7</v>
      </c>
      <c r="Q12" s="7" t="inlineStr">
        <is>
          <t>center moist</t>
        </is>
      </c>
    </row>
    <row r="13">
      <c r="H13" s="7" t="n"/>
      <c r="I13" s="7" t="n"/>
      <c r="J13" s="7" t="n">
        <v>2</v>
      </c>
      <c r="K13" s="7" t="n">
        <v>42</v>
      </c>
      <c r="L13" s="7" t="n">
        <v>9.6</v>
      </c>
      <c r="M13" s="7" t="inlineStr">
        <is>
          <t>dark edge</t>
        </is>
      </c>
      <c r="N13" s="7" t="inlineStr">
        <is>
          <t>Y</t>
        </is>
      </c>
      <c r="O13" s="7" t="n">
        <v>4.4</v>
      </c>
      <c r="P13" s="7" t="n">
        <v>2.6</v>
      </c>
      <c r="Q13" s="7" t="inlineStr">
        <is>
          <t>sheet note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올리브토핑</t>
        </is>
      </c>
      <c r="J14" s="7" t="n">
        <v>1</v>
      </c>
      <c r="K14" s="7" t="n">
        <v>40.9</v>
      </c>
      <c r="L14" s="7" t="n">
        <v>9</v>
      </c>
      <c r="M14" s="7" t="inlineStr">
        <is>
          <t>golden</t>
        </is>
      </c>
      <c r="N14" s="7" t="inlineStr">
        <is>
          <t>Y</t>
        </is>
      </c>
      <c r="O14" s="7" t="n">
        <v>4.5</v>
      </c>
      <c r="P14" s="7" t="n">
        <v>2.7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41</v>
      </c>
      <c r="L15" s="7" t="n">
        <v>9.199999999999999</v>
      </c>
      <c r="M15" s="7" t="inlineStr">
        <is>
          <t>golden-brown</t>
        </is>
      </c>
      <c r="N15" s="7" t="inlineStr">
        <is>
          <t>Y</t>
        </is>
      </c>
      <c r="O15" s="7" t="n">
        <v>4.6</v>
      </c>
      <c r="P15" s="7" t="n">
        <v>2.5</v>
      </c>
      <c r="Q15" s="7" t="inlineStr">
        <is>
          <t>top rise good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52.4</v>
      </c>
      <c r="L16" s="7" t="n">
        <v>10.2</v>
      </c>
      <c r="M16" s="7" t="inlineStr">
        <is>
          <t>pale</t>
        </is>
      </c>
      <c r="N16" s="7" t="inlineStr">
        <is>
          <t>Y</t>
        </is>
      </c>
      <c r="O16" s="7" t="n">
        <v>3.8</v>
      </c>
      <c r="P16" s="7" t="n">
        <v>4.6</v>
      </c>
      <c r="Q16" s="7" t="inlineStr">
        <is>
          <t>top rise good</t>
        </is>
      </c>
    </row>
    <row r="17">
      <c r="H17" s="7" t="n"/>
      <c r="I17" s="7" t="n"/>
      <c r="J17" s="7" t="n">
        <v>2</v>
      </c>
      <c r="K17" s="7" t="n">
        <v>52.6</v>
      </c>
      <c r="L17" s="7" t="n">
        <v>11</v>
      </c>
      <c r="M17" s="7" t="inlineStr">
        <is>
          <t>pale</t>
        </is>
      </c>
      <c r="N17" s="7" t="inlineStr">
        <is>
          <t>N</t>
        </is>
      </c>
      <c r="O17" s="7" t="n">
        <v>4.1</v>
      </c>
      <c r="P17" s="7" t="n">
        <v>4.5</v>
      </c>
      <c r="Q17" s="7" t="inlineStr">
        <is>
          <t>sheet note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52.4</v>
      </c>
      <c r="L18" s="7" t="n">
        <v>10.5</v>
      </c>
      <c r="M18" s="7" t="inlineStr">
        <is>
          <t>golden</t>
        </is>
      </c>
      <c r="N18" s="7" t="inlineStr">
        <is>
          <t>N</t>
        </is>
      </c>
      <c r="O18" s="7" t="n">
        <v>4.2</v>
      </c>
      <c r="P18" s="7" t="n">
        <v>4.4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52.3</v>
      </c>
      <c r="L19" s="7" t="n">
        <v>10.6</v>
      </c>
      <c r="M19" s="7" t="inlineStr">
        <is>
          <t>golden</t>
        </is>
      </c>
      <c r="N19" s="7" t="inlineStr">
        <is>
          <t>N</t>
        </is>
      </c>
      <c r="O19" s="7" t="n">
        <v>4</v>
      </c>
      <c r="P19" s="7" t="n">
        <v>3.9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51</v>
      </c>
      <c r="L20" s="7" t="n">
        <v>10.7</v>
      </c>
      <c r="M20" s="7" t="inlineStr">
        <is>
          <t>dark edge</t>
        </is>
      </c>
      <c r="N20" s="7" t="inlineStr">
        <is>
          <t>Y</t>
        </is>
      </c>
      <c r="O20" s="7" t="n">
        <v>4.1</v>
      </c>
      <c r="P20" s="7" t="n">
        <v>3.9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52.7</v>
      </c>
      <c r="L21" s="7" t="n">
        <v>10.7</v>
      </c>
      <c r="M21" s="7" t="inlineStr">
        <is>
          <t>golden-brown</t>
        </is>
      </c>
      <c r="N21" s="7" t="inlineStr">
        <is>
          <t>N</t>
        </is>
      </c>
      <c r="O21" s="7" t="n">
        <v>3.9</v>
      </c>
      <c r="P21" s="7" t="n">
        <v>3.9</v>
      </c>
      <c r="Q21" s="7" t="inlineStr">
        <is>
          <t>sheet note</t>
        </is>
      </c>
    </row>
    <row r="22">
      <c r="H22" s="7" t="n">
        <v>6</v>
      </c>
      <c r="I22" s="7" t="inlineStr">
        <is>
          <t>올리브토핑</t>
        </is>
      </c>
      <c r="J22" s="7" t="n">
        <v>1</v>
      </c>
      <c r="K22" s="7" t="n">
        <v>51.5</v>
      </c>
      <c r="L22" s="7" t="n">
        <v>10.4</v>
      </c>
      <c r="M22" s="7" t="inlineStr">
        <is>
          <t>dark edge</t>
        </is>
      </c>
      <c r="N22" s="7" t="inlineStr">
        <is>
          <t>N</t>
        </is>
      </c>
      <c r="O22" s="7" t="n">
        <v>4.1</v>
      </c>
      <c r="P22" s="7" t="n">
        <v>4.3</v>
      </c>
      <c r="Q22" s="7" t="inlineStr">
        <is>
          <t>-</t>
        </is>
      </c>
    </row>
    <row r="23">
      <c r="H23" s="7" t="n"/>
      <c r="I23" s="7" t="n"/>
      <c r="J23" s="7" t="n">
        <v>2</v>
      </c>
      <c r="K23" s="7" t="n">
        <v>51.5</v>
      </c>
      <c r="L23" s="7" t="n">
        <v>10.8</v>
      </c>
      <c r="M23" s="7" t="inlineStr">
        <is>
          <t>dark edge</t>
        </is>
      </c>
      <c r="N23" s="7" t="inlineStr">
        <is>
          <t>N</t>
        </is>
      </c>
      <c r="O23" s="7" t="n">
        <v>4</v>
      </c>
      <c r="P23" s="7" t="n">
        <v>4.4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61.8</v>
      </c>
      <c r="L24" s="7" t="n">
        <v>11.6</v>
      </c>
      <c r="M24" s="7" t="inlineStr">
        <is>
          <t>pale</t>
        </is>
      </c>
      <c r="N24" s="7" t="inlineStr">
        <is>
          <t>Y</t>
        </is>
      </c>
      <c r="O24" s="7" t="n">
        <v>3.9</v>
      </c>
      <c r="P24" s="7" t="n">
        <v>6.2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62</v>
      </c>
      <c r="L25" s="7" t="n">
        <v>12</v>
      </c>
      <c r="M25" s="7" t="inlineStr">
        <is>
          <t>pale</t>
        </is>
      </c>
      <c r="N25" s="7" t="inlineStr">
        <is>
          <t>N</t>
        </is>
      </c>
      <c r="O25" s="7" t="n">
        <v>3.5</v>
      </c>
      <c r="P25" s="7" t="n">
        <v>6.1</v>
      </c>
      <c r="Q25" s="7" t="inlineStr">
        <is>
          <t>-</t>
        </is>
      </c>
    </row>
    <row r="26">
      <c r="H26" s="7" t="n">
        <v>9</v>
      </c>
      <c r="I26" s="7" t="inlineStr">
        <is>
          <t>올리브토핑</t>
        </is>
      </c>
      <c r="J26" s="7" t="n">
        <v>1</v>
      </c>
      <c r="K26" s="7" t="n">
        <v>62.8</v>
      </c>
      <c r="L26" s="7" t="n">
        <v>12.3</v>
      </c>
      <c r="M26" s="7" t="inlineStr">
        <is>
          <t>dark edge</t>
        </is>
      </c>
      <c r="N26" s="7" t="inlineStr">
        <is>
          <t>N</t>
        </is>
      </c>
      <c r="O26" s="7" t="n">
        <v>3.5</v>
      </c>
      <c r="P26" s="7" t="n">
        <v>6</v>
      </c>
      <c r="Q26" s="7" t="inlineStr">
        <is>
          <t>center moist</t>
        </is>
      </c>
    </row>
    <row r="27">
      <c r="H27" s="7" t="n"/>
      <c r="I27" s="7" t="n"/>
      <c r="J27" s="7" t="n">
        <v>2</v>
      </c>
      <c r="K27" s="7" t="n">
        <v>62</v>
      </c>
      <c r="L27" s="7" t="n">
        <v>12.3</v>
      </c>
      <c r="M27" s="7" t="inlineStr">
        <is>
          <t>golden</t>
        </is>
      </c>
      <c r="N27" s="7" t="inlineStr">
        <is>
          <t>Y</t>
        </is>
      </c>
      <c r="O27" s="7" t="n">
        <v>3.6</v>
      </c>
      <c r="P27" s="7" t="n">
        <v>6.3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73.3</v>
      </c>
      <c r="L28" s="7" t="n">
        <v>13.3</v>
      </c>
      <c r="M28" s="7" t="inlineStr">
        <is>
          <t>golden-brown</t>
        </is>
      </c>
      <c r="N28" s="7" t="inlineStr">
        <is>
          <t>N</t>
        </is>
      </c>
      <c r="O28" s="7" t="n">
        <v>3.6</v>
      </c>
      <c r="P28" s="7" t="n">
        <v>7.6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73.8</v>
      </c>
      <c r="L29" s="7" t="n">
        <v>13.8</v>
      </c>
      <c r="M29" s="7" t="inlineStr">
        <is>
          <t>golden-brown</t>
        </is>
      </c>
      <c r="N29" s="7" t="inlineStr">
        <is>
          <t>N</t>
        </is>
      </c>
      <c r="O29" s="7" t="n">
        <v>3.2</v>
      </c>
      <c r="P29" s="7" t="n">
        <v>7.2</v>
      </c>
      <c r="Q29" s="7" t="inlineStr">
        <is>
          <t>edge darker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73.40000000000001</v>
      </c>
      <c r="L30" s="7" t="n">
        <v>13.7</v>
      </c>
      <c r="M30" s="7" t="inlineStr">
        <is>
          <t>golden</t>
        </is>
      </c>
      <c r="N30" s="7" t="inlineStr">
        <is>
          <t>N</t>
        </is>
      </c>
      <c r="O30" s="7" t="n">
        <v>3.5</v>
      </c>
      <c r="P30" s="7" t="n">
        <v>7.3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72.7</v>
      </c>
      <c r="L31" s="7" t="n">
        <v>13.6</v>
      </c>
      <c r="M31" s="7" t="inlineStr">
        <is>
          <t>pale</t>
        </is>
      </c>
      <c r="N31" s="7" t="inlineStr">
        <is>
          <t>N</t>
        </is>
      </c>
      <c r="O31" s="7" t="n">
        <v>3.8</v>
      </c>
      <c r="P31" s="7" t="n">
        <v>8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73.09999999999999</v>
      </c>
      <c r="L32" s="7" t="n">
        <v>13.2</v>
      </c>
      <c r="M32" s="7" t="inlineStr">
        <is>
          <t>pale</t>
        </is>
      </c>
      <c r="N32" s="7" t="inlineStr">
        <is>
          <t>N</t>
        </is>
      </c>
      <c r="O32" s="7" t="n">
        <v>3.5</v>
      </c>
      <c r="P32" s="7" t="n">
        <v>7.6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73.2</v>
      </c>
      <c r="L33" s="7" t="n">
        <v>13.9</v>
      </c>
      <c r="M33" s="7" t="inlineStr">
        <is>
          <t>golden</t>
        </is>
      </c>
      <c r="N33" s="7" t="inlineStr">
        <is>
          <t>N</t>
        </is>
      </c>
      <c r="O33" s="7" t="n">
        <v>3.5</v>
      </c>
      <c r="P33" s="7" t="n">
        <v>7.7</v>
      </c>
      <c r="Q33" s="7" t="inlineStr">
        <is>
          <t>사진 참조</t>
        </is>
      </c>
    </row>
    <row r="34">
      <c r="H34" s="7" t="n">
        <v>12</v>
      </c>
      <c r="I34" s="7" t="inlineStr">
        <is>
          <t>올리브토핑</t>
        </is>
      </c>
      <c r="J34" s="7" t="n">
        <v>1</v>
      </c>
      <c r="K34" s="7" t="n">
        <v>72.59999999999999</v>
      </c>
      <c r="L34" s="7" t="n">
        <v>13.1</v>
      </c>
      <c r="M34" s="7" t="inlineStr">
        <is>
          <t>pale</t>
        </is>
      </c>
      <c r="N34" s="7" t="inlineStr">
        <is>
          <t>N</t>
        </is>
      </c>
      <c r="O34" s="7" t="n">
        <v>3.6</v>
      </c>
      <c r="P34" s="7" t="n">
        <v>7.3</v>
      </c>
      <c r="Q34" s="7" t="inlineStr">
        <is>
          <t>top rise good</t>
        </is>
      </c>
    </row>
    <row r="35">
      <c r="H35" s="7" t="n"/>
      <c r="I35" s="7" t="n"/>
      <c r="J35" s="7" t="n">
        <v>2</v>
      </c>
      <c r="K35" s="7" t="n">
        <v>72.8</v>
      </c>
      <c r="L35" s="7" t="n">
        <v>13.2</v>
      </c>
      <c r="M35" s="7" t="inlineStr">
        <is>
          <t>pale</t>
        </is>
      </c>
      <c r="N35" s="7" t="inlineStr">
        <is>
          <t>N</t>
        </is>
      </c>
      <c r="O35" s="7" t="n">
        <v>3.8</v>
      </c>
      <c r="P35" s="7" t="n">
        <v>7.9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83.5</v>
      </c>
      <c r="L36" s="7" t="n">
        <v>15</v>
      </c>
      <c r="M36" s="7" t="inlineStr">
        <is>
          <t>golden-brown</t>
        </is>
      </c>
      <c r="N36" s="7" t="inlineStr">
        <is>
          <t>N</t>
        </is>
      </c>
      <c r="O36" s="7" t="n">
        <v>3</v>
      </c>
      <c r="P36" s="7" t="n">
        <v>9.199999999999999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83.90000000000001</v>
      </c>
      <c r="L37" s="7" t="n">
        <v>15.3</v>
      </c>
      <c r="M37" s="7" t="inlineStr">
        <is>
          <t>dark edge</t>
        </is>
      </c>
      <c r="N37" s="7" t="inlineStr">
        <is>
          <t>N</t>
        </is>
      </c>
      <c r="O37" s="7" t="n">
        <v>2.8</v>
      </c>
      <c r="P37" s="7" t="n">
        <v>9</v>
      </c>
      <c r="Q37" s="7" t="inlineStr">
        <is>
          <t>center moist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83.8</v>
      </c>
      <c r="L38" s="7" t="n">
        <v>15</v>
      </c>
      <c r="M38" s="7" t="inlineStr">
        <is>
          <t>pale</t>
        </is>
      </c>
      <c r="N38" s="7" t="inlineStr">
        <is>
          <t>N</t>
        </is>
      </c>
      <c r="O38" s="7" t="n">
        <v>2.8</v>
      </c>
      <c r="P38" s="7" t="n">
        <v>9.6</v>
      </c>
      <c r="Q38" s="7" t="inlineStr">
        <is>
          <t>-</t>
        </is>
      </c>
    </row>
    <row r="39">
      <c r="H39" s="7" t="n"/>
      <c r="I39" s="7" t="n"/>
      <c r="J39" s="7" t="n">
        <v>2</v>
      </c>
      <c r="K39" s="7" t="n">
        <v>84</v>
      </c>
      <c r="L39" s="7" t="n">
        <v>14.9</v>
      </c>
      <c r="M39" s="7" t="inlineStr">
        <is>
          <t>pale</t>
        </is>
      </c>
      <c r="N39" s="7" t="inlineStr">
        <is>
          <t>Y</t>
        </is>
      </c>
      <c r="O39" s="7" t="n">
        <v>3.3</v>
      </c>
      <c r="P39" s="7" t="n">
        <v>9.1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93.8</v>
      </c>
      <c r="L40" s="7" t="n">
        <v>16.3</v>
      </c>
      <c r="M40" s="7" t="inlineStr">
        <is>
          <t>golden</t>
        </is>
      </c>
      <c r="N40" s="7" t="inlineStr">
        <is>
          <t>N</t>
        </is>
      </c>
      <c r="O40" s="7" t="n">
        <v>2.6</v>
      </c>
      <c r="P40" s="7" t="n">
        <v>10.8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93.59999999999999</v>
      </c>
      <c r="L41" s="7" t="n">
        <v>16.5</v>
      </c>
      <c r="M41" s="7" t="inlineStr">
        <is>
          <t>pale</t>
        </is>
      </c>
      <c r="N41" s="7" t="inlineStr">
        <is>
          <t>Y</t>
        </is>
      </c>
      <c r="O41" s="7" t="n">
        <v>2.6</v>
      </c>
      <c r="P41" s="7" t="n">
        <v>11.1</v>
      </c>
      <c r="Q41" s="7" t="inlineStr">
        <is>
          <t>center moist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94.5</v>
      </c>
      <c r="L42" s="7" t="n">
        <v>16.5</v>
      </c>
      <c r="M42" s="7" t="inlineStr">
        <is>
          <t>dark edge</t>
        </is>
      </c>
      <c r="N42" s="7" t="inlineStr">
        <is>
          <t>N</t>
        </is>
      </c>
      <c r="O42" s="7" t="n">
        <v>2.5</v>
      </c>
      <c r="P42" s="7" t="n">
        <v>11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94.59999999999999</v>
      </c>
      <c r="L43" s="7" t="n">
        <v>16</v>
      </c>
      <c r="M43" s="7" t="inlineStr">
        <is>
          <t>golden</t>
        </is>
      </c>
      <c r="N43" s="7" t="inlineStr">
        <is>
          <t>Y</t>
        </is>
      </c>
      <c r="O43" s="7" t="n">
        <v>2.5</v>
      </c>
      <c r="P43" s="7" t="n">
        <v>10.8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94.2</v>
      </c>
      <c r="L44" s="7" t="n">
        <v>16</v>
      </c>
      <c r="M44" s="7" t="inlineStr">
        <is>
          <t>golden</t>
        </is>
      </c>
      <c r="N44" s="7" t="inlineStr">
        <is>
          <t>N</t>
        </is>
      </c>
      <c r="O44" s="7" t="n">
        <v>2.7</v>
      </c>
      <c r="P44" s="7" t="n">
        <v>11.1</v>
      </c>
      <c r="Q44" s="7" t="inlineStr">
        <is>
          <t>-</t>
        </is>
      </c>
    </row>
    <row r="45">
      <c r="H45" s="7" t="n"/>
      <c r="I45" s="7" t="n"/>
      <c r="J45" s="7" t="n">
        <v>2</v>
      </c>
      <c r="K45" s="7" t="n">
        <v>93.90000000000001</v>
      </c>
      <c r="L45" s="7" t="n">
        <v>16.5</v>
      </c>
      <c r="M45" s="7" t="inlineStr">
        <is>
          <t>pale</t>
        </is>
      </c>
      <c r="N45" s="7" t="inlineStr">
        <is>
          <t>N</t>
        </is>
      </c>
      <c r="O45" s="7" t="n">
        <v>2.5</v>
      </c>
      <c r="P45" s="7" t="n">
        <v>10.8</v>
      </c>
      <c r="Q45" s="7" t="inlineStr">
        <is>
          <t>sheet note</t>
        </is>
      </c>
    </row>
    <row r="46">
      <c r="H46" s="7" t="n">
        <v>18</v>
      </c>
      <c r="I46" s="7" t="inlineStr">
        <is>
          <t>올리브토핑</t>
        </is>
      </c>
      <c r="J46" s="7" t="n">
        <v>1</v>
      </c>
      <c r="K46" s="7" t="n">
        <v>93.09999999999999</v>
      </c>
      <c r="L46" s="7" t="n">
        <v>16.1</v>
      </c>
      <c r="M46" s="7" t="inlineStr">
        <is>
          <t>golden</t>
        </is>
      </c>
      <c r="N46" s="7" t="inlineStr">
        <is>
          <t>N</t>
        </is>
      </c>
      <c r="O46" s="7" t="n">
        <v>2.5</v>
      </c>
      <c r="P46" s="7" t="n">
        <v>10.9</v>
      </c>
      <c r="Q46" s="7" t="inlineStr">
        <is>
          <t>-</t>
        </is>
      </c>
    </row>
    <row r="47">
      <c r="H47" s="7" t="n"/>
      <c r="I47" s="7" t="n"/>
      <c r="J47" s="7" t="n">
        <v>2</v>
      </c>
      <c r="K47" s="7" t="n">
        <v>94.5</v>
      </c>
      <c r="L47" s="7" t="n">
        <v>16.8</v>
      </c>
      <c r="M47" s="7" t="inlineStr">
        <is>
          <t>golden</t>
        </is>
      </c>
      <c r="N47" s="7" t="inlineStr">
        <is>
          <t>N</t>
        </is>
      </c>
      <c r="O47" s="7" t="n">
        <v>3</v>
      </c>
      <c r="P47" s="7" t="n">
        <v>10.9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17.8</v>
      </c>
      <c r="M48" s="7" t="inlineStr">
        <is>
          <t>golden-brown</t>
        </is>
      </c>
      <c r="N48" s="7" t="inlineStr">
        <is>
          <t>Y</t>
        </is>
      </c>
      <c r="O48" s="7" t="n">
        <v>2.7</v>
      </c>
      <c r="P48" s="7" t="n">
        <v>12.8</v>
      </c>
      <c r="Q48" s="7" t="inlineStr">
        <is>
          <t>top rise good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17.6</v>
      </c>
      <c r="M49" s="7" t="inlineStr">
        <is>
          <t>pale</t>
        </is>
      </c>
      <c r="N49" s="7" t="inlineStr">
        <is>
          <t>N</t>
        </is>
      </c>
      <c r="O49" s="7" t="n">
        <v>2.4</v>
      </c>
      <c r="P49" s="7" t="n">
        <v>12.8</v>
      </c>
      <c r="Q49" s="7" t="inlineStr">
        <is>
          <t>sheet note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18.2</v>
      </c>
      <c r="M50" s="7" t="inlineStr">
        <is>
          <t>golden</t>
        </is>
      </c>
      <c r="N50" s="7" t="inlineStr">
        <is>
          <t>N</t>
        </is>
      </c>
      <c r="O50" s="7" t="n">
        <v>2.5</v>
      </c>
      <c r="P50" s="7" t="n">
        <v>12.8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17.5</v>
      </c>
      <c r="M51" s="7" t="inlineStr">
        <is>
          <t>golden</t>
        </is>
      </c>
      <c r="N51" s="7" t="inlineStr">
        <is>
          <t>N</t>
        </is>
      </c>
      <c r="O51" s="7" t="n">
        <v>2.5</v>
      </c>
      <c r="P51" s="7" t="n">
        <v>12.4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올리브 / Oven 205℃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올리브</t>
        </is>
      </c>
      <c r="D6" s="3" t="inlineStr">
        <is>
          <t>오븐설정</t>
        </is>
      </c>
      <c r="E6" s="4" t="inlineStr">
        <is>
          <t>205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2026-09-15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32.6</v>
      </c>
      <c r="L8" s="7" t="n">
        <v>7.5</v>
      </c>
      <c r="M8" s="7" t="inlineStr">
        <is>
          <t>golden</t>
        </is>
      </c>
      <c r="N8" s="7" t="inlineStr">
        <is>
          <t>N</t>
        </is>
      </c>
      <c r="O8" s="7" t="n">
        <v>4.7</v>
      </c>
      <c r="P8" s="7" t="n">
        <v>1.6</v>
      </c>
      <c r="Q8" s="7" t="inlineStr">
        <is>
          <t>top rise good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32.8</v>
      </c>
      <c r="L9" s="7" t="n">
        <v>7.5</v>
      </c>
      <c r="M9" s="7" t="inlineStr">
        <is>
          <t>golden-brown</t>
        </is>
      </c>
      <c r="N9" s="7" t="inlineStr">
        <is>
          <t>N</t>
        </is>
      </c>
      <c r="O9" s="7" t="n">
        <v>4.9</v>
      </c>
      <c r="P9" s="7" t="n">
        <v>1.6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올리브토핑</t>
        </is>
      </c>
      <c r="J10" s="7" t="n">
        <v>1</v>
      </c>
      <c r="K10" s="7" t="n">
        <v>32.2</v>
      </c>
      <c r="L10" s="7" t="n">
        <v>7.6</v>
      </c>
      <c r="M10" s="7" t="inlineStr">
        <is>
          <t>dark edge</t>
        </is>
      </c>
      <c r="N10" s="7" t="inlineStr">
        <is>
          <t>Y</t>
        </is>
      </c>
      <c r="O10" s="7" t="n">
        <v>4.9</v>
      </c>
      <c r="P10" s="7" t="n">
        <v>1.4</v>
      </c>
      <c r="Q10" s="7" t="inlineStr">
        <is>
          <t>top rise good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32.2</v>
      </c>
      <c r="L11" s="7" t="n">
        <v>7.4</v>
      </c>
      <c r="M11" s="7" t="inlineStr">
        <is>
          <t>dark edge</t>
        </is>
      </c>
      <c r="N11" s="7" t="inlineStr">
        <is>
          <t>N</t>
        </is>
      </c>
      <c r="O11" s="7" t="n">
        <v>5</v>
      </c>
      <c r="P11" s="7" t="n">
        <v>1.4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42.9</v>
      </c>
      <c r="L12" s="7" t="n">
        <v>8.6</v>
      </c>
      <c r="M12" s="7" t="inlineStr">
        <is>
          <t>golden-brown</t>
        </is>
      </c>
      <c r="N12" s="7" t="inlineStr">
        <is>
          <t>N</t>
        </is>
      </c>
      <c r="O12" s="7" t="n">
        <v>4.6</v>
      </c>
      <c r="P12" s="7" t="n">
        <v>2.6</v>
      </c>
      <c r="Q12" s="7" t="inlineStr">
        <is>
          <t>-</t>
        </is>
      </c>
    </row>
    <row r="13">
      <c r="H13" s="7" t="n"/>
      <c r="I13" s="7" t="n"/>
      <c r="J13" s="7" t="n">
        <v>2</v>
      </c>
      <c r="K13" s="7" t="n">
        <v>42.9</v>
      </c>
      <c r="L13" s="7" t="n">
        <v>9.4</v>
      </c>
      <c r="M13" s="7" t="inlineStr">
        <is>
          <t>pale</t>
        </is>
      </c>
      <c r="N13" s="7" t="inlineStr">
        <is>
          <t>N</t>
        </is>
      </c>
      <c r="O13" s="7" t="n">
        <v>4.6</v>
      </c>
      <c r="P13" s="7" t="n">
        <v>2.8</v>
      </c>
      <c r="Q13" s="7" t="inlineStr">
        <is>
          <t>top rise good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42.1</v>
      </c>
      <c r="L14" s="7" t="n">
        <v>8.9</v>
      </c>
      <c r="M14" s="7" t="inlineStr">
        <is>
          <t>pale</t>
        </is>
      </c>
      <c r="N14" s="7" t="inlineStr">
        <is>
          <t>N</t>
        </is>
      </c>
      <c r="O14" s="7" t="n">
        <v>4.1</v>
      </c>
      <c r="P14" s="7" t="n">
        <v>3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42.3</v>
      </c>
      <c r="L15" s="7" t="n">
        <v>8.699999999999999</v>
      </c>
      <c r="M15" s="7" t="inlineStr">
        <is>
          <t>golden-brown</t>
        </is>
      </c>
      <c r="N15" s="7" t="inlineStr">
        <is>
          <t>N</t>
        </is>
      </c>
      <c r="O15" s="7" t="n">
        <v>4.3</v>
      </c>
      <c r="P15" s="7" t="n">
        <v>3.2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53.3</v>
      </c>
      <c r="L16" s="7" t="n">
        <v>10.6</v>
      </c>
      <c r="M16" s="7" t="inlineStr">
        <is>
          <t>golden</t>
        </is>
      </c>
      <c r="N16" s="7" t="inlineStr">
        <is>
          <t>N</t>
        </is>
      </c>
      <c r="O16" s="7" t="n">
        <v>3.9</v>
      </c>
      <c r="P16" s="7" t="n">
        <v>4.5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52.6</v>
      </c>
      <c r="L17" s="7" t="n">
        <v>10.4</v>
      </c>
      <c r="M17" s="7" t="inlineStr">
        <is>
          <t>golden</t>
        </is>
      </c>
      <c r="N17" s="7" t="inlineStr">
        <is>
          <t>N</t>
        </is>
      </c>
      <c r="O17" s="7" t="n">
        <v>4</v>
      </c>
      <c r="P17" s="7" t="n">
        <v>4.3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52.5</v>
      </c>
      <c r="L18" s="7" t="n">
        <v>10.5</v>
      </c>
      <c r="M18" s="7" t="inlineStr">
        <is>
          <t>golden-brown</t>
        </is>
      </c>
      <c r="N18" s="7" t="inlineStr">
        <is>
          <t>Y</t>
        </is>
      </c>
      <c r="O18" s="7" t="n">
        <v>4.2</v>
      </c>
      <c r="P18" s="7" t="n">
        <v>4.2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52.7</v>
      </c>
      <c r="L19" s="7" t="n">
        <v>10.7</v>
      </c>
      <c r="M19" s="7" t="inlineStr">
        <is>
          <t>pale</t>
        </is>
      </c>
      <c r="N19" s="7" t="inlineStr">
        <is>
          <t>N</t>
        </is>
      </c>
      <c r="O19" s="7" t="n">
        <v>3.8</v>
      </c>
      <c r="P19" s="7" t="n">
        <v>4.4</v>
      </c>
      <c r="Q19" s="7" t="inlineStr">
        <is>
          <t>사진 참조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52.8</v>
      </c>
      <c r="L20" s="7" t="n">
        <v>10.1</v>
      </c>
      <c r="M20" s="7" t="inlineStr">
        <is>
          <t>golden-brown</t>
        </is>
      </c>
      <c r="N20" s="7" t="inlineStr">
        <is>
          <t>Y</t>
        </is>
      </c>
      <c r="O20" s="7" t="n">
        <v>4.2</v>
      </c>
      <c r="P20" s="7" t="n">
        <v>4.6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53.6</v>
      </c>
      <c r="L21" s="7" t="n">
        <v>10.6</v>
      </c>
      <c r="M21" s="7" t="inlineStr">
        <is>
          <t>golden</t>
        </is>
      </c>
      <c r="N21" s="7" t="inlineStr">
        <is>
          <t>N</t>
        </is>
      </c>
      <c r="O21" s="7" t="n">
        <v>4.1</v>
      </c>
      <c r="P21" s="7" t="n">
        <v>4.6</v>
      </c>
      <c r="Q21" s="7" t="inlineStr">
        <is>
          <t>sheet note</t>
        </is>
      </c>
    </row>
    <row r="22">
      <c r="H22" s="7" t="n">
        <v>6</v>
      </c>
      <c r="I22" s="7" t="inlineStr">
        <is>
          <t>올리브토핑</t>
        </is>
      </c>
      <c r="J22" s="7" t="n">
        <v>1</v>
      </c>
      <c r="K22" s="7" t="n">
        <v>52.4</v>
      </c>
      <c r="L22" s="7" t="n">
        <v>10.6</v>
      </c>
      <c r="M22" s="7" t="inlineStr">
        <is>
          <t>golden</t>
        </is>
      </c>
      <c r="N22" s="7" t="inlineStr">
        <is>
          <t>Y</t>
        </is>
      </c>
      <c r="O22" s="7" t="n">
        <v>3.9</v>
      </c>
      <c r="P22" s="7" t="n">
        <v>4.2</v>
      </c>
      <c r="Q22" s="7" t="inlineStr">
        <is>
          <t>top rise good</t>
        </is>
      </c>
    </row>
    <row r="23">
      <c r="H23" s="7" t="n"/>
      <c r="I23" s="7" t="n"/>
      <c r="J23" s="7" t="n">
        <v>2</v>
      </c>
      <c r="K23" s="7" t="n">
        <v>53.2</v>
      </c>
      <c r="L23" s="7" t="n">
        <v>10.9</v>
      </c>
      <c r="M23" s="7" t="inlineStr">
        <is>
          <t>golden</t>
        </is>
      </c>
      <c r="N23" s="7" t="inlineStr">
        <is>
          <t>Y</t>
        </is>
      </c>
      <c r="O23" s="7" t="n">
        <v>4.1</v>
      </c>
      <c r="P23" s="7" t="n">
        <v>4.8</v>
      </c>
      <c r="Q23" s="7" t="inlineStr">
        <is>
          <t>-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63.8</v>
      </c>
      <c r="L24" s="7" t="n">
        <v>12.1</v>
      </c>
      <c r="M24" s="7" t="inlineStr">
        <is>
          <t>dark edge</t>
        </is>
      </c>
      <c r="N24" s="7" t="inlineStr">
        <is>
          <t>N</t>
        </is>
      </c>
      <c r="O24" s="7" t="n">
        <v>4</v>
      </c>
      <c r="P24" s="7" t="n">
        <v>6.4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64.3</v>
      </c>
      <c r="L25" s="7" t="n">
        <v>11.9</v>
      </c>
      <c r="M25" s="7" t="inlineStr">
        <is>
          <t>dark edge</t>
        </is>
      </c>
      <c r="N25" s="7" t="inlineStr">
        <is>
          <t>N</t>
        </is>
      </c>
      <c r="O25" s="7" t="n">
        <v>3.7</v>
      </c>
      <c r="P25" s="7" t="n">
        <v>6.3</v>
      </c>
      <c r="Q25" s="7" t="inlineStr">
        <is>
          <t>top rise good</t>
        </is>
      </c>
    </row>
    <row r="26">
      <c r="H26" s="7" t="n">
        <v>9</v>
      </c>
      <c r="I26" s="7" t="inlineStr">
        <is>
          <t>올리브토핑</t>
        </is>
      </c>
      <c r="J26" s="7" t="n">
        <v>1</v>
      </c>
      <c r="K26" s="7" t="n">
        <v>63.7</v>
      </c>
      <c r="L26" s="7" t="n">
        <v>12.2</v>
      </c>
      <c r="M26" s="7" t="inlineStr">
        <is>
          <t>pale</t>
        </is>
      </c>
      <c r="N26" s="7" t="inlineStr">
        <is>
          <t>N</t>
        </is>
      </c>
      <c r="O26" s="7" t="n">
        <v>3.7</v>
      </c>
      <c r="P26" s="7" t="n">
        <v>6.6</v>
      </c>
      <c r="Q26" s="7" t="inlineStr">
        <is>
          <t>top rise good</t>
        </is>
      </c>
    </row>
    <row r="27">
      <c r="H27" s="7" t="n"/>
      <c r="I27" s="7" t="n"/>
      <c r="J27" s="7" t="n">
        <v>2</v>
      </c>
      <c r="K27" s="7" t="n">
        <v>63.5</v>
      </c>
      <c r="L27" s="7" t="n">
        <v>11.7</v>
      </c>
      <c r="M27" s="7" t="inlineStr">
        <is>
          <t>pale</t>
        </is>
      </c>
      <c r="N27" s="7" t="inlineStr">
        <is>
          <t>Y</t>
        </is>
      </c>
      <c r="O27" s="7" t="n">
        <v>3.8</v>
      </c>
      <c r="P27" s="7" t="n">
        <v>5.8</v>
      </c>
      <c r="Q27" s="7" t="inlineStr">
        <is>
          <t>-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73.5</v>
      </c>
      <c r="L28" s="7" t="n">
        <v>13.3</v>
      </c>
      <c r="M28" s="7" t="inlineStr">
        <is>
          <t>golden-brown</t>
        </is>
      </c>
      <c r="N28" s="7" t="inlineStr">
        <is>
          <t>Y</t>
        </is>
      </c>
      <c r="O28" s="7" t="n">
        <v>3.3</v>
      </c>
      <c r="P28" s="7" t="n">
        <v>7.6</v>
      </c>
      <c r="Q28" s="7" t="inlineStr">
        <is>
          <t>-</t>
        </is>
      </c>
    </row>
    <row r="29">
      <c r="H29" s="7" t="n"/>
      <c r="I29" s="7" t="n"/>
      <c r="J29" s="7" t="n">
        <v>2</v>
      </c>
      <c r="K29" s="7" t="n">
        <v>74.59999999999999</v>
      </c>
      <c r="L29" s="7" t="n">
        <v>13.2</v>
      </c>
      <c r="M29" s="7" t="inlineStr">
        <is>
          <t>golden</t>
        </is>
      </c>
      <c r="N29" s="7" t="inlineStr">
        <is>
          <t>N</t>
        </is>
      </c>
      <c r="O29" s="7" t="n">
        <v>3.2</v>
      </c>
      <c r="P29" s="7" t="n">
        <v>7.9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73.8</v>
      </c>
      <c r="L30" s="7" t="n">
        <v>13.1</v>
      </c>
      <c r="M30" s="7" t="inlineStr">
        <is>
          <t>dark edge</t>
        </is>
      </c>
      <c r="N30" s="7" t="inlineStr">
        <is>
          <t>Y</t>
        </is>
      </c>
      <c r="O30" s="7" t="n">
        <v>3.3</v>
      </c>
      <c r="P30" s="7" t="n">
        <v>7.5</v>
      </c>
      <c r="Q30" s="7" t="inlineStr">
        <is>
          <t>사진 참조</t>
        </is>
      </c>
    </row>
    <row r="31">
      <c r="H31" s="7" t="n"/>
      <c r="I31" s="7" t="n"/>
      <c r="J31" s="7" t="n">
        <v>2</v>
      </c>
      <c r="K31" s="7" t="n">
        <v>74.5</v>
      </c>
      <c r="L31" s="7" t="n">
        <v>13.4</v>
      </c>
      <c r="M31" s="7" t="inlineStr">
        <is>
          <t>dark edge</t>
        </is>
      </c>
      <c r="N31" s="7" t="inlineStr">
        <is>
          <t>Y</t>
        </is>
      </c>
      <c r="O31" s="7" t="n">
        <v>3.5</v>
      </c>
      <c r="P31" s="7" t="n">
        <v>7.6</v>
      </c>
      <c r="Q31" s="7" t="inlineStr">
        <is>
          <t>edge darker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73.5</v>
      </c>
      <c r="L32" s="7" t="n">
        <v>13.4</v>
      </c>
      <c r="M32" s="7" t="inlineStr">
        <is>
          <t>pale</t>
        </is>
      </c>
      <c r="N32" s="7" t="inlineStr">
        <is>
          <t>Y</t>
        </is>
      </c>
      <c r="O32" s="7" t="n">
        <v>3.5</v>
      </c>
      <c r="P32" s="7" t="n">
        <v>8</v>
      </c>
      <c r="Q32" s="7" t="inlineStr">
        <is>
          <t>사진 참조</t>
        </is>
      </c>
    </row>
    <row r="33">
      <c r="H33" s="7" t="n"/>
      <c r="I33" s="7" t="n"/>
      <c r="J33" s="7" t="n">
        <v>2</v>
      </c>
      <c r="K33" s="7" t="n">
        <v>73.59999999999999</v>
      </c>
      <c r="L33" s="7" t="n">
        <v>13</v>
      </c>
      <c r="M33" s="7" t="inlineStr">
        <is>
          <t>golden-brown</t>
        </is>
      </c>
      <c r="N33" s="7" t="inlineStr">
        <is>
          <t>N</t>
        </is>
      </c>
      <c r="O33" s="7" t="n">
        <v>3.5</v>
      </c>
      <c r="P33" s="7" t="n">
        <v>8.1</v>
      </c>
      <c r="Q33" s="7" t="inlineStr">
        <is>
          <t>-</t>
        </is>
      </c>
    </row>
    <row r="34">
      <c r="H34" s="7" t="n">
        <v>12</v>
      </c>
      <c r="I34" s="7" t="inlineStr">
        <is>
          <t>올리브토핑</t>
        </is>
      </c>
      <c r="J34" s="7" t="n">
        <v>1</v>
      </c>
      <c r="K34" s="7" t="n">
        <v>73.2</v>
      </c>
      <c r="L34" s="7" t="n">
        <v>13.4</v>
      </c>
      <c r="M34" s="7" t="inlineStr">
        <is>
          <t>pale</t>
        </is>
      </c>
      <c r="N34" s="7" t="inlineStr">
        <is>
          <t>N</t>
        </is>
      </c>
      <c r="O34" s="7" t="n">
        <v>3.6</v>
      </c>
      <c r="P34" s="7" t="n">
        <v>8.199999999999999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74.3</v>
      </c>
      <c r="L35" s="7" t="n">
        <v>13.4</v>
      </c>
      <c r="M35" s="7" t="inlineStr">
        <is>
          <t>golden-brown</t>
        </is>
      </c>
      <c r="N35" s="7" t="inlineStr">
        <is>
          <t>N</t>
        </is>
      </c>
      <c r="O35" s="7" t="n">
        <v>3.2</v>
      </c>
      <c r="P35" s="7" t="n">
        <v>8.1</v>
      </c>
      <c r="Q35" s="7" t="inlineStr">
        <is>
          <t>사진 참조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84.90000000000001</v>
      </c>
      <c r="L36" s="7" t="n">
        <v>15.2</v>
      </c>
      <c r="M36" s="7" t="inlineStr">
        <is>
          <t>golden</t>
        </is>
      </c>
      <c r="N36" s="7" t="inlineStr">
        <is>
          <t>N</t>
        </is>
      </c>
      <c r="O36" s="7" t="n">
        <v>3.4</v>
      </c>
      <c r="P36" s="7" t="n">
        <v>9.4</v>
      </c>
      <c r="Q36" s="7" t="inlineStr">
        <is>
          <t>-</t>
        </is>
      </c>
    </row>
    <row r="37">
      <c r="H37" s="7" t="n"/>
      <c r="I37" s="7" t="n"/>
      <c r="J37" s="7" t="n">
        <v>2</v>
      </c>
      <c r="K37" s="7" t="n">
        <v>84.5</v>
      </c>
      <c r="L37" s="7" t="n">
        <v>14.9</v>
      </c>
      <c r="M37" s="7" t="inlineStr">
        <is>
          <t>golden-brown</t>
        </is>
      </c>
      <c r="N37" s="7" t="inlineStr">
        <is>
          <t>N</t>
        </is>
      </c>
      <c r="O37" s="7" t="n">
        <v>3.4</v>
      </c>
      <c r="P37" s="7" t="n">
        <v>9.1</v>
      </c>
      <c r="Q37" s="7" t="inlineStr">
        <is>
          <t>-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84</v>
      </c>
      <c r="L38" s="7" t="n">
        <v>15.1</v>
      </c>
      <c r="M38" s="7" t="inlineStr">
        <is>
          <t>golden-brown</t>
        </is>
      </c>
      <c r="N38" s="7" t="inlineStr">
        <is>
          <t>N</t>
        </is>
      </c>
      <c r="O38" s="7" t="n">
        <v>3.1</v>
      </c>
      <c r="P38" s="7" t="n">
        <v>9.6</v>
      </c>
      <c r="Q38" s="7" t="inlineStr">
        <is>
          <t>-</t>
        </is>
      </c>
    </row>
    <row r="39">
      <c r="H39" s="7" t="n"/>
      <c r="I39" s="7" t="n"/>
      <c r="J39" s="7" t="n">
        <v>2</v>
      </c>
      <c r="K39" s="7" t="n">
        <v>84</v>
      </c>
      <c r="L39" s="7" t="n">
        <v>14.8</v>
      </c>
      <c r="M39" s="7" t="inlineStr">
        <is>
          <t>dark edge</t>
        </is>
      </c>
      <c r="N39" s="7" t="inlineStr">
        <is>
          <t>Y</t>
        </is>
      </c>
      <c r="O39" s="7" t="n">
        <v>3.2</v>
      </c>
      <c r="P39" s="7" t="n">
        <v>9.300000000000001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95.2</v>
      </c>
      <c r="L40" s="7" t="n">
        <v>16.5</v>
      </c>
      <c r="M40" s="7" t="inlineStr">
        <is>
          <t>dark edge</t>
        </is>
      </c>
      <c r="N40" s="7" t="inlineStr">
        <is>
          <t>N</t>
        </is>
      </c>
      <c r="O40" s="7" t="n">
        <v>2.9</v>
      </c>
      <c r="P40" s="7" t="n">
        <v>10.8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95.59999999999999</v>
      </c>
      <c r="L41" s="7" t="n">
        <v>16.6</v>
      </c>
      <c r="M41" s="7" t="inlineStr">
        <is>
          <t>pale</t>
        </is>
      </c>
      <c r="N41" s="7" t="inlineStr">
        <is>
          <t>Y</t>
        </is>
      </c>
      <c r="O41" s="7" t="n">
        <v>3</v>
      </c>
      <c r="P41" s="7" t="n">
        <v>11</v>
      </c>
      <c r="Q41" s="7" t="inlineStr">
        <is>
          <t>top rise good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94.5</v>
      </c>
      <c r="L42" s="7" t="n">
        <v>15.9</v>
      </c>
      <c r="M42" s="7" t="inlineStr">
        <is>
          <t>golden</t>
        </is>
      </c>
      <c r="N42" s="7" t="inlineStr">
        <is>
          <t>Y</t>
        </is>
      </c>
      <c r="O42" s="7" t="n">
        <v>3.1</v>
      </c>
      <c r="P42" s="7" t="n">
        <v>11.4</v>
      </c>
      <c r="Q42" s="7" t="inlineStr">
        <is>
          <t>-</t>
        </is>
      </c>
    </row>
    <row r="43">
      <c r="H43" s="7" t="n"/>
      <c r="I43" s="7" t="n"/>
      <c r="J43" s="7" t="n">
        <v>2</v>
      </c>
      <c r="K43" s="7" t="n">
        <v>95.8</v>
      </c>
      <c r="L43" s="7" t="n">
        <v>16.5</v>
      </c>
      <c r="M43" s="7" t="inlineStr">
        <is>
          <t>dark edge</t>
        </is>
      </c>
      <c r="N43" s="7" t="inlineStr">
        <is>
          <t>N</t>
        </is>
      </c>
      <c r="O43" s="7" t="n">
        <v>2.5</v>
      </c>
      <c r="P43" s="7" t="n">
        <v>10.8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95.09999999999999</v>
      </c>
      <c r="L44" s="7" t="n">
        <v>15.9</v>
      </c>
      <c r="M44" s="7" t="inlineStr">
        <is>
          <t>pale</t>
        </is>
      </c>
      <c r="N44" s="7" t="inlineStr">
        <is>
          <t>N</t>
        </is>
      </c>
      <c r="O44" s="7" t="n">
        <v>2.6</v>
      </c>
      <c r="P44" s="7" t="n">
        <v>11.3</v>
      </c>
      <c r="Q44" s="7" t="inlineStr">
        <is>
          <t>edge darker</t>
        </is>
      </c>
    </row>
    <row r="45">
      <c r="H45" s="7" t="n"/>
      <c r="I45" s="7" t="n"/>
      <c r="J45" s="7" t="n">
        <v>2</v>
      </c>
      <c r="K45" s="7" t="n">
        <v>95.2</v>
      </c>
      <c r="L45" s="7" t="n">
        <v>16.4</v>
      </c>
      <c r="M45" s="7" t="inlineStr">
        <is>
          <t>pale</t>
        </is>
      </c>
      <c r="N45" s="7" t="inlineStr">
        <is>
          <t>Y</t>
        </is>
      </c>
      <c r="O45" s="7" t="n">
        <v>2.9</v>
      </c>
      <c r="P45" s="7" t="n">
        <v>11.2</v>
      </c>
      <c r="Q45" s="7" t="inlineStr">
        <is>
          <t>top rise good</t>
        </is>
      </c>
    </row>
    <row r="46">
      <c r="H46" s="7" t="n">
        <v>18</v>
      </c>
      <c r="I46" s="7" t="inlineStr">
        <is>
          <t>올리브토핑</t>
        </is>
      </c>
      <c r="J46" s="7" t="n">
        <v>1</v>
      </c>
      <c r="K46" s="7" t="n">
        <v>94.3</v>
      </c>
      <c r="L46" s="7" t="n">
        <v>16.2</v>
      </c>
      <c r="M46" s="7" t="inlineStr">
        <is>
          <t>golden</t>
        </is>
      </c>
      <c r="N46" s="7" t="inlineStr">
        <is>
          <t>Y</t>
        </is>
      </c>
      <c r="O46" s="7" t="n">
        <v>2.7</v>
      </c>
      <c r="P46" s="7" t="n">
        <v>11.5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94.90000000000001</v>
      </c>
      <c r="L47" s="7" t="n">
        <v>16.7</v>
      </c>
      <c r="M47" s="7" t="inlineStr">
        <is>
          <t>pale</t>
        </is>
      </c>
      <c r="N47" s="7" t="inlineStr">
        <is>
          <t>N</t>
        </is>
      </c>
      <c r="O47" s="7" t="n">
        <v>3.1</v>
      </c>
      <c r="P47" s="7" t="n">
        <v>11.4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17.4</v>
      </c>
      <c r="M48" s="7" t="inlineStr">
        <is>
          <t>golden</t>
        </is>
      </c>
      <c r="N48" s="7" t="inlineStr">
        <is>
          <t>N</t>
        </is>
      </c>
      <c r="O48" s="7" t="n">
        <v>2.2</v>
      </c>
      <c r="P48" s="7" t="n">
        <v>12.8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17.5</v>
      </c>
      <c r="M49" s="7" t="inlineStr">
        <is>
          <t>dark edge</t>
        </is>
      </c>
      <c r="N49" s="7" t="inlineStr">
        <is>
          <t>Y</t>
        </is>
      </c>
      <c r="O49" s="7" t="n">
        <v>2.4</v>
      </c>
      <c r="P49" s="7" t="n">
        <v>12.8</v>
      </c>
      <c r="Q49" s="7" t="inlineStr">
        <is>
          <t>edge darker</t>
        </is>
      </c>
    </row>
    <row r="50">
      <c r="H50" s="7" t="n">
        <v>21</v>
      </c>
      <c r="I50" s="7" t="inlineStr">
        <is>
          <t>올리브토핑</t>
        </is>
      </c>
      <c r="J50" s="7" t="n">
        <v>1</v>
      </c>
      <c r="K50" s="7" t="n">
        <v>99.5</v>
      </c>
      <c r="L50" s="7" t="n">
        <v>18.1</v>
      </c>
      <c r="M50" s="7" t="inlineStr">
        <is>
          <t>golden-brown</t>
        </is>
      </c>
      <c r="N50" s="7" t="inlineStr">
        <is>
          <t>N</t>
        </is>
      </c>
      <c r="O50" s="7" t="n">
        <v>2.2</v>
      </c>
      <c r="P50" s="7" t="n">
        <v>12.7</v>
      </c>
      <c r="Q50" s="7" t="inlineStr">
        <is>
          <t>사진 참조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17.3</v>
      </c>
      <c r="M51" s="7" t="inlineStr">
        <is>
          <t>dark edge</t>
        </is>
      </c>
      <c r="N51" s="7" t="inlineStr">
        <is>
          <t>N</t>
        </is>
      </c>
      <c r="O51" s="7" t="n">
        <v>2.2</v>
      </c>
      <c r="P51" s="7" t="n">
        <v>12.7</v>
      </c>
      <c r="Q51" s="7" t="inlineStr">
        <is>
          <t>사진 참조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올리브 / Oven 210℃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올리브</t>
        </is>
      </c>
      <c r="D6" s="3" t="inlineStr">
        <is>
          <t>오븐설정</t>
        </is>
      </c>
      <c r="E6" s="4" t="inlineStr">
        <is>
          <t>210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- 210℃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2026-09-16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33.1</v>
      </c>
      <c r="L8" s="7" t="n">
        <v>7.6</v>
      </c>
      <c r="M8" s="7" t="inlineStr">
        <is>
          <t>dark edge</t>
        </is>
      </c>
      <c r="N8" s="7" t="inlineStr">
        <is>
          <t>N</t>
        </is>
      </c>
      <c r="O8" s="7" t="n">
        <v>4.5</v>
      </c>
      <c r="P8" s="7" t="n">
        <v>1.3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33.4</v>
      </c>
      <c r="L9" s="7" t="n">
        <v>7.1</v>
      </c>
      <c r="M9" s="7" t="inlineStr">
        <is>
          <t>golden-brown</t>
        </is>
      </c>
      <c r="N9" s="7" t="inlineStr">
        <is>
          <t>N</t>
        </is>
      </c>
      <c r="O9" s="7" t="n">
        <v>5</v>
      </c>
      <c r="P9" s="7" t="n">
        <v>1.8</v>
      </c>
      <c r="Q9" s="7" t="inlineStr">
        <is>
          <t>sheet note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올리브토핑</t>
        </is>
      </c>
      <c r="J10" s="7" t="n">
        <v>1</v>
      </c>
      <c r="K10" s="7" t="n">
        <v>33.2</v>
      </c>
      <c r="L10" s="7" t="n">
        <v>7.2</v>
      </c>
      <c r="M10" s="7" t="inlineStr">
        <is>
          <t>pale</t>
        </is>
      </c>
      <c r="N10" s="7" t="inlineStr">
        <is>
          <t>N</t>
        </is>
      </c>
      <c r="O10" s="7" t="n">
        <v>4.5</v>
      </c>
      <c r="P10" s="7" t="n">
        <v>1.7</v>
      </c>
      <c r="Q10" s="7" t="inlineStr">
        <is>
          <t>사진 참조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33</v>
      </c>
      <c r="L11" s="7" t="n">
        <v>7.1</v>
      </c>
      <c r="M11" s="7" t="inlineStr">
        <is>
          <t>dark edge</t>
        </is>
      </c>
      <c r="N11" s="7" t="inlineStr">
        <is>
          <t>N</t>
        </is>
      </c>
      <c r="O11" s="7" t="n">
        <v>4.9</v>
      </c>
      <c r="P11" s="7" t="n">
        <v>1.5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43.1</v>
      </c>
      <c r="L12" s="7" t="n">
        <v>9.300000000000001</v>
      </c>
      <c r="M12" s="7" t="inlineStr">
        <is>
          <t>pale</t>
        </is>
      </c>
      <c r="N12" s="7" t="inlineStr">
        <is>
          <t>N</t>
        </is>
      </c>
      <c r="O12" s="7" t="n">
        <v>4.3</v>
      </c>
      <c r="P12" s="7" t="n">
        <v>3.4</v>
      </c>
      <c r="Q12" s="7" t="inlineStr">
        <is>
          <t>-</t>
        </is>
      </c>
    </row>
    <row r="13">
      <c r="H13" s="7" t="n"/>
      <c r="I13" s="7" t="n"/>
      <c r="J13" s="7" t="n">
        <v>2</v>
      </c>
      <c r="K13" s="7" t="n">
        <v>43.5</v>
      </c>
      <c r="L13" s="7" t="n">
        <v>9</v>
      </c>
      <c r="M13" s="7" t="inlineStr">
        <is>
          <t>dark edge</t>
        </is>
      </c>
      <c r="N13" s="7" t="inlineStr">
        <is>
          <t>N</t>
        </is>
      </c>
      <c r="O13" s="7" t="n">
        <v>4.4</v>
      </c>
      <c r="P13" s="7" t="n">
        <v>2.9</v>
      </c>
      <c r="Q13" s="7" t="inlineStr">
        <is>
          <t>top rise good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올리브토핑</t>
        </is>
      </c>
      <c r="J14" s="7" t="n">
        <v>1</v>
      </c>
      <c r="K14" s="7" t="n">
        <v>44.1</v>
      </c>
      <c r="L14" s="7" t="n">
        <v>8.6</v>
      </c>
      <c r="M14" s="7" t="inlineStr">
        <is>
          <t>dark edge</t>
        </is>
      </c>
      <c r="N14" s="7" t="inlineStr">
        <is>
          <t>N</t>
        </is>
      </c>
      <c r="O14" s="7" t="n">
        <v>4.3</v>
      </c>
      <c r="P14" s="7" t="n">
        <v>3.1</v>
      </c>
      <c r="Q14" s="7" t="inlineStr">
        <is>
          <t>-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44.2</v>
      </c>
      <c r="L15" s="7" t="n">
        <v>9.199999999999999</v>
      </c>
      <c r="M15" s="7" t="inlineStr">
        <is>
          <t>golden-brown</t>
        </is>
      </c>
      <c r="N15" s="7" t="inlineStr">
        <is>
          <t>N</t>
        </is>
      </c>
      <c r="O15" s="7" t="n">
        <v>4.5</v>
      </c>
      <c r="P15" s="7" t="n">
        <v>3.4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53.7</v>
      </c>
      <c r="L16" s="7" t="n">
        <v>10.5</v>
      </c>
      <c r="M16" s="7" t="inlineStr">
        <is>
          <t>dark edge</t>
        </is>
      </c>
      <c r="N16" s="7" t="inlineStr">
        <is>
          <t>N</t>
        </is>
      </c>
      <c r="O16" s="7" t="n">
        <v>3.9</v>
      </c>
      <c r="P16" s="7" t="n">
        <v>4.6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54.3</v>
      </c>
      <c r="L17" s="7" t="n">
        <v>10.7</v>
      </c>
      <c r="M17" s="7" t="inlineStr">
        <is>
          <t>pale</t>
        </is>
      </c>
      <c r="N17" s="7" t="inlineStr">
        <is>
          <t>Y</t>
        </is>
      </c>
      <c r="O17" s="7" t="n">
        <v>4</v>
      </c>
      <c r="P17" s="7" t="n">
        <v>4.9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53.6</v>
      </c>
      <c r="L18" s="7" t="n">
        <v>9.9</v>
      </c>
      <c r="M18" s="7" t="inlineStr">
        <is>
          <t>golden-brown</t>
        </is>
      </c>
      <c r="N18" s="7" t="inlineStr">
        <is>
          <t>Y</t>
        </is>
      </c>
      <c r="O18" s="7" t="n">
        <v>4.4</v>
      </c>
      <c r="P18" s="7" t="n">
        <v>4.7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54.8</v>
      </c>
      <c r="L19" s="7" t="n">
        <v>9.9</v>
      </c>
      <c r="M19" s="7" t="inlineStr">
        <is>
          <t>golden-brown</t>
        </is>
      </c>
      <c r="N19" s="7" t="inlineStr">
        <is>
          <t>N</t>
        </is>
      </c>
      <c r="O19" s="7" t="n">
        <v>4</v>
      </c>
      <c r="P19" s="7" t="n">
        <v>4.6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54.6</v>
      </c>
      <c r="L20" s="7" t="n">
        <v>10</v>
      </c>
      <c r="M20" s="7" t="inlineStr">
        <is>
          <t>golden-brown</t>
        </is>
      </c>
      <c r="N20" s="7" t="inlineStr">
        <is>
          <t>Y</t>
        </is>
      </c>
      <c r="O20" s="7" t="n">
        <v>3.8</v>
      </c>
      <c r="P20" s="7" t="n">
        <v>5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55</v>
      </c>
      <c r="L21" s="7" t="n">
        <v>10</v>
      </c>
      <c r="M21" s="7" t="inlineStr">
        <is>
          <t>dark edge</t>
        </is>
      </c>
      <c r="N21" s="7" t="inlineStr">
        <is>
          <t>N</t>
        </is>
      </c>
      <c r="O21" s="7" t="n">
        <v>4.3</v>
      </c>
      <c r="P21" s="7" t="n">
        <v>4.7</v>
      </c>
      <c r="Q21" s="7" t="inlineStr">
        <is>
          <t>사진 참조</t>
        </is>
      </c>
    </row>
    <row r="22">
      <c r="H22" s="7" t="n">
        <v>6</v>
      </c>
      <c r="I22" s="7" t="inlineStr">
        <is>
          <t>올리브토핑</t>
        </is>
      </c>
      <c r="J22" s="7" t="n">
        <v>1</v>
      </c>
      <c r="K22" s="7" t="n">
        <v>54.8</v>
      </c>
      <c r="L22" s="7" t="n">
        <v>10.7</v>
      </c>
      <c r="M22" s="7" t="inlineStr">
        <is>
          <t>golden</t>
        </is>
      </c>
      <c r="N22" s="7" t="inlineStr">
        <is>
          <t>N</t>
        </is>
      </c>
      <c r="O22" s="7" t="n">
        <v>4.3</v>
      </c>
      <c r="P22" s="7" t="n">
        <v>5.2</v>
      </c>
      <c r="Q22" s="7" t="inlineStr">
        <is>
          <t>top rise good</t>
        </is>
      </c>
    </row>
    <row r="23">
      <c r="H23" s="7" t="n"/>
      <c r="I23" s="7" t="n"/>
      <c r="J23" s="7" t="n">
        <v>2</v>
      </c>
      <c r="K23" s="7" t="n">
        <v>54.6</v>
      </c>
      <c r="L23" s="7" t="n">
        <v>10.2</v>
      </c>
      <c r="M23" s="7" t="inlineStr">
        <is>
          <t>pale</t>
        </is>
      </c>
      <c r="N23" s="7" t="inlineStr">
        <is>
          <t>N</t>
        </is>
      </c>
      <c r="O23" s="7" t="n">
        <v>4.2</v>
      </c>
      <c r="P23" s="7" t="n">
        <v>4.5</v>
      </c>
      <c r="Q23" s="7" t="inlineStr">
        <is>
          <t>사진 참조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64.3</v>
      </c>
      <c r="L24" s="7" t="n">
        <v>12.1</v>
      </c>
      <c r="M24" s="7" t="inlineStr">
        <is>
          <t>golden-brown</t>
        </is>
      </c>
      <c r="N24" s="7" t="inlineStr">
        <is>
          <t>N</t>
        </is>
      </c>
      <c r="O24" s="7" t="n">
        <v>3.6</v>
      </c>
      <c r="P24" s="7" t="n">
        <v>6.8</v>
      </c>
      <c r="Q24" s="7" t="inlineStr">
        <is>
          <t>사진 참조</t>
        </is>
      </c>
    </row>
    <row r="25">
      <c r="H25" s="7" t="n"/>
      <c r="I25" s="7" t="n"/>
      <c r="J25" s="7" t="n">
        <v>2</v>
      </c>
      <c r="K25" s="7" t="n">
        <v>64.7</v>
      </c>
      <c r="L25" s="7" t="n">
        <v>11.9</v>
      </c>
      <c r="M25" s="7" t="inlineStr">
        <is>
          <t>pale</t>
        </is>
      </c>
      <c r="N25" s="7" t="inlineStr">
        <is>
          <t>N</t>
        </is>
      </c>
      <c r="O25" s="7" t="n">
        <v>3.8</v>
      </c>
      <c r="P25" s="7" t="n">
        <v>6.2</v>
      </c>
      <c r="Q25" s="7" t="inlineStr">
        <is>
          <t>edge darker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65.2</v>
      </c>
      <c r="L26" s="7" t="n">
        <v>12</v>
      </c>
      <c r="M26" s="7" t="inlineStr">
        <is>
          <t>pale</t>
        </is>
      </c>
      <c r="N26" s="7" t="inlineStr">
        <is>
          <t>N</t>
        </is>
      </c>
      <c r="O26" s="7" t="n">
        <v>3.7</v>
      </c>
      <c r="P26" s="7" t="n">
        <v>6.3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65.09999999999999</v>
      </c>
      <c r="L27" s="7" t="n">
        <v>11.4</v>
      </c>
      <c r="M27" s="7" t="inlineStr">
        <is>
          <t>dark edge</t>
        </is>
      </c>
      <c r="N27" s="7" t="inlineStr">
        <is>
          <t>N</t>
        </is>
      </c>
      <c r="O27" s="7" t="n">
        <v>3.9</v>
      </c>
      <c r="P27" s="7" t="n">
        <v>6.1</v>
      </c>
      <c r="Q27" s="7" t="inlineStr">
        <is>
          <t>edge darker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75.5</v>
      </c>
      <c r="L28" s="7" t="n">
        <v>12.9</v>
      </c>
      <c r="M28" s="7" t="inlineStr">
        <is>
          <t>pale</t>
        </is>
      </c>
      <c r="N28" s="7" t="inlineStr">
        <is>
          <t>N</t>
        </is>
      </c>
      <c r="O28" s="7" t="n">
        <v>3.4</v>
      </c>
      <c r="P28" s="7" t="n">
        <v>8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76</v>
      </c>
      <c r="L29" s="7" t="n">
        <v>13</v>
      </c>
      <c r="M29" s="7" t="inlineStr">
        <is>
          <t>dark edge</t>
        </is>
      </c>
      <c r="N29" s="7" t="inlineStr">
        <is>
          <t>N</t>
        </is>
      </c>
      <c r="O29" s="7" t="n">
        <v>3.3</v>
      </c>
      <c r="P29" s="7" t="n">
        <v>8.300000000000001</v>
      </c>
      <c r="Q29" s="7" t="inlineStr">
        <is>
          <t>-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74.5</v>
      </c>
      <c r="L30" s="7" t="n">
        <v>13.2</v>
      </c>
      <c r="M30" s="7" t="inlineStr">
        <is>
          <t>golden-brown</t>
        </is>
      </c>
      <c r="N30" s="7" t="inlineStr">
        <is>
          <t>N</t>
        </is>
      </c>
      <c r="O30" s="7" t="n">
        <v>3.5</v>
      </c>
      <c r="P30" s="7" t="n">
        <v>8.1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76.09999999999999</v>
      </c>
      <c r="L31" s="7" t="n">
        <v>13.4</v>
      </c>
      <c r="M31" s="7" t="inlineStr">
        <is>
          <t>golden-brown</t>
        </is>
      </c>
      <c r="N31" s="7" t="inlineStr">
        <is>
          <t>N</t>
        </is>
      </c>
      <c r="O31" s="7" t="n">
        <v>3.6</v>
      </c>
      <c r="P31" s="7" t="n">
        <v>8</v>
      </c>
      <c r="Q31" s="7" t="inlineStr">
        <is>
          <t>사진 참조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74.90000000000001</v>
      </c>
      <c r="L32" s="7" t="n">
        <v>13.2</v>
      </c>
      <c r="M32" s="7" t="inlineStr">
        <is>
          <t>dark edge</t>
        </is>
      </c>
      <c r="N32" s="7" t="inlineStr">
        <is>
          <t>N</t>
        </is>
      </c>
      <c r="O32" s="7" t="n">
        <v>3.7</v>
      </c>
      <c r="P32" s="7" t="n">
        <v>8.1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75.5</v>
      </c>
      <c r="L33" s="7" t="n">
        <v>12.9</v>
      </c>
      <c r="M33" s="7" t="inlineStr">
        <is>
          <t>dark edge</t>
        </is>
      </c>
      <c r="N33" s="7" t="inlineStr">
        <is>
          <t>N</t>
        </is>
      </c>
      <c r="O33" s="7" t="n">
        <v>3.5</v>
      </c>
      <c r="P33" s="7" t="n">
        <v>8.199999999999999</v>
      </c>
      <c r="Q33" s="7" t="inlineStr">
        <is>
          <t>center moist</t>
        </is>
      </c>
    </row>
    <row r="34">
      <c r="H34" s="7" t="n">
        <v>12</v>
      </c>
      <c r="I34" s="7" t="inlineStr">
        <is>
          <t>올리브토핑</t>
        </is>
      </c>
      <c r="J34" s="7" t="n">
        <v>1</v>
      </c>
      <c r="K34" s="7" t="n">
        <v>74.8</v>
      </c>
      <c r="L34" s="7" t="n">
        <v>13.3</v>
      </c>
      <c r="M34" s="7" t="inlineStr">
        <is>
          <t>pale</t>
        </is>
      </c>
      <c r="N34" s="7" t="inlineStr">
        <is>
          <t>N</t>
        </is>
      </c>
      <c r="O34" s="7" t="n">
        <v>3.5</v>
      </c>
      <c r="P34" s="7" t="n">
        <v>8.300000000000001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75.09999999999999</v>
      </c>
      <c r="L35" s="7" t="n">
        <v>12.8</v>
      </c>
      <c r="M35" s="7" t="inlineStr">
        <is>
          <t>dark edge</t>
        </is>
      </c>
      <c r="N35" s="7" t="inlineStr">
        <is>
          <t>N</t>
        </is>
      </c>
      <c r="O35" s="7" t="n">
        <v>3.3</v>
      </c>
      <c r="P35" s="7" t="n">
        <v>8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85</v>
      </c>
      <c r="L36" s="7" t="n">
        <v>14.3</v>
      </c>
      <c r="M36" s="7" t="inlineStr">
        <is>
          <t>golden</t>
        </is>
      </c>
      <c r="N36" s="7" t="inlineStr">
        <is>
          <t>Y</t>
        </is>
      </c>
      <c r="O36" s="7" t="n">
        <v>3</v>
      </c>
      <c r="P36" s="7" t="n">
        <v>9.6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86.40000000000001</v>
      </c>
      <c r="L37" s="7" t="n">
        <v>14.9</v>
      </c>
      <c r="M37" s="7" t="inlineStr">
        <is>
          <t>golden</t>
        </is>
      </c>
      <c r="N37" s="7" t="inlineStr">
        <is>
          <t>N</t>
        </is>
      </c>
      <c r="O37" s="7" t="n">
        <v>3.2</v>
      </c>
      <c r="P37" s="7" t="n">
        <v>9.5</v>
      </c>
      <c r="Q37" s="7" t="inlineStr">
        <is>
          <t>-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85.09999999999999</v>
      </c>
      <c r="L38" s="7" t="n">
        <v>14.7</v>
      </c>
      <c r="M38" s="7" t="inlineStr">
        <is>
          <t>dark edge</t>
        </is>
      </c>
      <c r="N38" s="7" t="inlineStr">
        <is>
          <t>N</t>
        </is>
      </c>
      <c r="O38" s="7" t="n">
        <v>3.2</v>
      </c>
      <c r="P38" s="7" t="n">
        <v>9.4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85.2</v>
      </c>
      <c r="L39" s="7" t="n">
        <v>14.4</v>
      </c>
      <c r="M39" s="7" t="inlineStr">
        <is>
          <t>golden-brown</t>
        </is>
      </c>
      <c r="N39" s="7" t="inlineStr">
        <is>
          <t>N</t>
        </is>
      </c>
      <c r="O39" s="7" t="n">
        <v>2.9</v>
      </c>
      <c r="P39" s="7" t="n">
        <v>9.5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96</v>
      </c>
      <c r="L40" s="7" t="n">
        <v>16.5</v>
      </c>
      <c r="M40" s="7" t="inlineStr">
        <is>
          <t>pale</t>
        </is>
      </c>
      <c r="N40" s="7" t="inlineStr">
        <is>
          <t>N</t>
        </is>
      </c>
      <c r="O40" s="7" t="n">
        <v>2.4</v>
      </c>
      <c r="P40" s="7" t="n">
        <v>11.2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96.3</v>
      </c>
      <c r="L41" s="7" t="n">
        <v>16</v>
      </c>
      <c r="M41" s="7" t="inlineStr">
        <is>
          <t>golden-brown</t>
        </is>
      </c>
      <c r="N41" s="7" t="inlineStr">
        <is>
          <t>Y</t>
        </is>
      </c>
      <c r="O41" s="7" t="n">
        <v>3</v>
      </c>
      <c r="P41" s="7" t="n">
        <v>11.6</v>
      </c>
      <c r="Q41" s="7" t="inlineStr">
        <is>
          <t>-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96</v>
      </c>
      <c r="L42" s="7" t="n">
        <v>16.1</v>
      </c>
      <c r="M42" s="7" t="inlineStr">
        <is>
          <t>golden</t>
        </is>
      </c>
      <c r="N42" s="7" t="inlineStr">
        <is>
          <t>Y</t>
        </is>
      </c>
      <c r="O42" s="7" t="n">
        <v>2.5</v>
      </c>
      <c r="P42" s="7" t="n">
        <v>11.1</v>
      </c>
      <c r="Q42" s="7" t="inlineStr">
        <is>
          <t>-</t>
        </is>
      </c>
    </row>
    <row r="43">
      <c r="H43" s="7" t="n"/>
      <c r="I43" s="7" t="n"/>
      <c r="J43" s="7" t="n">
        <v>2</v>
      </c>
      <c r="K43" s="7" t="n">
        <v>96.59999999999999</v>
      </c>
      <c r="L43" s="7" t="n">
        <v>16.2</v>
      </c>
      <c r="M43" s="7" t="inlineStr">
        <is>
          <t>dark edge</t>
        </is>
      </c>
      <c r="N43" s="7" t="inlineStr">
        <is>
          <t>N</t>
        </is>
      </c>
      <c r="O43" s="7" t="n">
        <v>2.5</v>
      </c>
      <c r="P43" s="7" t="n">
        <v>11.6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96</v>
      </c>
      <c r="L44" s="7" t="n">
        <v>16.4</v>
      </c>
      <c r="M44" s="7" t="inlineStr">
        <is>
          <t>golden</t>
        </is>
      </c>
      <c r="N44" s="7" t="inlineStr">
        <is>
          <t>N</t>
        </is>
      </c>
      <c r="O44" s="7" t="n">
        <v>2.8</v>
      </c>
      <c r="P44" s="7" t="n">
        <v>11.7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95.8</v>
      </c>
      <c r="L45" s="7" t="n">
        <v>16.2</v>
      </c>
      <c r="M45" s="7" t="inlineStr">
        <is>
          <t>pale</t>
        </is>
      </c>
      <c r="N45" s="7" t="inlineStr">
        <is>
          <t>N</t>
        </is>
      </c>
      <c r="O45" s="7" t="n">
        <v>2.8</v>
      </c>
      <c r="P45" s="7" t="n">
        <v>11.3</v>
      </c>
      <c r="Q45" s="7" t="inlineStr">
        <is>
          <t>-</t>
        </is>
      </c>
    </row>
    <row r="46">
      <c r="H46" s="7" t="n">
        <v>18</v>
      </c>
      <c r="I46" s="7" t="inlineStr">
        <is>
          <t>올리브토핑</t>
        </is>
      </c>
      <c r="J46" s="7" t="n">
        <v>1</v>
      </c>
      <c r="K46" s="7" t="n">
        <v>96</v>
      </c>
      <c r="L46" s="7" t="n">
        <v>16.1</v>
      </c>
      <c r="M46" s="7" t="inlineStr">
        <is>
          <t>dark edge</t>
        </is>
      </c>
      <c r="N46" s="7" t="inlineStr">
        <is>
          <t>Y</t>
        </is>
      </c>
      <c r="O46" s="7" t="n">
        <v>2.8</v>
      </c>
      <c r="P46" s="7" t="n">
        <v>11.7</v>
      </c>
      <c r="Q46" s="7" t="inlineStr">
        <is>
          <t>sheet note</t>
        </is>
      </c>
    </row>
    <row r="47">
      <c r="H47" s="7" t="n"/>
      <c r="I47" s="7" t="n"/>
      <c r="J47" s="7" t="n">
        <v>2</v>
      </c>
      <c r="K47" s="7" t="n">
        <v>96</v>
      </c>
      <c r="L47" s="7" t="n">
        <v>16.2</v>
      </c>
      <c r="M47" s="7" t="inlineStr">
        <is>
          <t>golden</t>
        </is>
      </c>
      <c r="N47" s="7" t="inlineStr">
        <is>
          <t>N</t>
        </is>
      </c>
      <c r="O47" s="7" t="n">
        <v>3.1</v>
      </c>
      <c r="P47" s="7" t="n">
        <v>11.2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</v>
      </c>
      <c r="M48" s="7" t="inlineStr">
        <is>
          <t>golden-brown</t>
        </is>
      </c>
      <c r="N48" s="7" t="inlineStr">
        <is>
          <t>Y</t>
        </is>
      </c>
      <c r="O48" s="7" t="n">
        <v>2.6</v>
      </c>
      <c r="P48" s="7" t="n">
        <v>13.4</v>
      </c>
      <c r="Q48" s="7" t="inlineStr">
        <is>
          <t>top rise good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17.2</v>
      </c>
      <c r="M49" s="7" t="inlineStr">
        <is>
          <t>dark edge</t>
        </is>
      </c>
      <c r="N49" s="7" t="inlineStr">
        <is>
          <t>N</t>
        </is>
      </c>
      <c r="O49" s="7" t="n">
        <v>2.7</v>
      </c>
      <c r="P49" s="7" t="n">
        <v>12.9</v>
      </c>
      <c r="Q49" s="7" t="inlineStr">
        <is>
          <t>사진 참조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17.4</v>
      </c>
      <c r="M50" s="7" t="inlineStr">
        <is>
          <t>dark edge</t>
        </is>
      </c>
      <c r="N50" s="7" t="inlineStr">
        <is>
          <t>N</t>
        </is>
      </c>
      <c r="O50" s="7" t="n">
        <v>2.5</v>
      </c>
      <c r="P50" s="7" t="n">
        <v>12.9</v>
      </c>
      <c r="Q50" s="7" t="inlineStr">
        <is>
          <t>edge darker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17.9</v>
      </c>
      <c r="M51" s="7" t="inlineStr">
        <is>
          <t>golden</t>
        </is>
      </c>
      <c r="N51" s="7" t="inlineStr">
        <is>
          <t>N</t>
        </is>
      </c>
      <c r="O51" s="7" t="n">
        <v>2.2</v>
      </c>
      <c r="P51" s="7" t="n">
        <v>12.9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Q13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0" customWidth="1" min="13" max="13"/>
    <col width="14" customWidth="1" min="15" max="15"/>
    <col width="14" customWidth="1" min="16" max="16"/>
    <col width="14" customWidth="1" min="17" max="17"/>
  </cols>
  <sheetData>
    <row r="2">
      <c r="D2" s="1" t="inlineStr">
        <is>
          <t>올리브 휘낭시에 판매율 &amp; 원가상승률 분석 / Sales vs Cost Impact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6">
      <c r="D6" s="5" t="inlineStr">
        <is>
          <t>옵션</t>
        </is>
      </c>
      <c r="E6" s="5" t="inlineStr">
        <is>
          <t>추가원가(원/ea)</t>
        </is>
      </c>
      <c r="F6" s="5" t="inlineStr">
        <is>
          <t>기준원가(원/ea)</t>
        </is>
      </c>
      <c r="G6" s="5" t="inlineStr">
        <is>
          <t>원가상승률(%)</t>
        </is>
      </c>
      <c r="H6" s="5" t="inlineStr">
        <is>
          <t>예상 판매율(%)</t>
        </is>
      </c>
      <c r="I6" s="5" t="inlineStr">
        <is>
          <t>재구매지수</t>
        </is>
      </c>
      <c r="J6" s="5" t="inlineStr">
        <is>
          <t>평균객단가(원)</t>
        </is>
      </c>
      <c r="K6" s="5" t="inlineStr">
        <is>
          <t>비고</t>
        </is>
      </c>
      <c r="L6" s="5" t="inlineStr">
        <is>
          <t>Remark</t>
        </is>
      </c>
      <c r="M6" s="5" t="inlineStr">
        <is>
          <t>Flag</t>
        </is>
      </c>
      <c r="O6" s="2" t="inlineStr">
        <is>
          <t>추가 메모 / Insight</t>
        </is>
      </c>
      <c r="P6" s="2" t="n"/>
      <c r="Q6" s="2" t="n"/>
    </row>
    <row r="7">
      <c r="D7" s="6" t="inlineStr">
        <is>
          <t>option</t>
        </is>
      </c>
      <c r="E7" s="6" t="inlineStr">
        <is>
          <t>Δ cost</t>
        </is>
      </c>
      <c r="F7" s="6" t="inlineStr">
        <is>
          <t>base cost</t>
        </is>
      </c>
      <c r="G7" s="6" t="inlineStr">
        <is>
          <t>%</t>
        </is>
      </c>
      <c r="H7" s="6" t="inlineStr">
        <is>
          <t>%</t>
        </is>
      </c>
      <c r="I7" s="6" t="inlineStr">
        <is>
          <t>index</t>
        </is>
      </c>
      <c r="J7" s="6" t="inlineStr">
        <is>
          <t>KRW</t>
        </is>
      </c>
      <c r="K7" s="6" t="inlineStr">
        <is>
          <t>memo</t>
        </is>
      </c>
      <c r="L7" s="6" t="inlineStr">
        <is>
          <t>text</t>
        </is>
      </c>
      <c r="M7" s="6" t="inlineStr">
        <is>
          <t>tag</t>
        </is>
      </c>
      <c r="O7" s="8" t="inlineStr">
        <is>
          <t>• 럼 추가는 판매율 상승폭이 안정적이나 원가 증가도 존재
• 토핑 옵션은 사진발/SNS 확산 효과가 큼
• 감태/올리브 등은 호불호가 있어 옵션 조합 중요
• 수치는 내부 실험 기준 추정치</t>
        </is>
      </c>
      <c r="P7" s="8" t="n"/>
      <c r="Q7" s="8" t="n"/>
    </row>
    <row r="8">
      <c r="D8" s="7" t="inlineStr">
        <is>
          <t>기본</t>
        </is>
      </c>
      <c r="E8" s="7" t="n">
        <v>-1.8</v>
      </c>
      <c r="F8" s="7" t="n">
        <v>506</v>
      </c>
      <c r="G8" s="7" t="n">
        <v>-0.36</v>
      </c>
      <c r="H8" s="7" t="n">
        <v>69.90000000000001</v>
      </c>
      <c r="I8" s="7" t="n">
        <v>0.77</v>
      </c>
      <c r="J8" s="7" t="n">
        <v>1480</v>
      </c>
      <c r="K8" s="7" t="inlineStr">
        <is>
          <t>단가 부담</t>
        </is>
      </c>
      <c r="L8" s="7" t="inlineStr">
        <is>
          <t>sugar glaze</t>
        </is>
      </c>
      <c r="M8" s="7" t="inlineStr">
        <is>
          <t>-</t>
        </is>
      </c>
      <c r="O8" s="8" t="n"/>
      <c r="P8" s="8" t="n"/>
      <c r="Q8" s="8" t="n"/>
    </row>
    <row r="9">
      <c r="D9" s="7" t="inlineStr">
        <is>
          <t>럼 추가</t>
        </is>
      </c>
      <c r="E9" s="7" t="n">
        <v>28.6</v>
      </c>
      <c r="F9" s="7" t="n">
        <v>506</v>
      </c>
      <c r="G9" s="7" t="n">
        <v>5.65</v>
      </c>
      <c r="H9" s="7" t="n">
        <v>71.2</v>
      </c>
      <c r="I9" s="7" t="n">
        <v>0.68</v>
      </c>
      <c r="J9" s="7" t="n">
        <v>1550</v>
      </c>
      <c r="K9" s="7" t="inlineStr">
        <is>
          <t>재구매 관찰 필요</t>
        </is>
      </c>
      <c r="L9" s="7" t="inlineStr">
        <is>
          <t>RUM option</t>
        </is>
      </c>
      <c r="M9" s="7" t="inlineStr">
        <is>
          <t>-</t>
        </is>
      </c>
      <c r="O9" s="8" t="n"/>
      <c r="P9" s="8" t="n"/>
      <c r="Q9" s="8" t="n"/>
    </row>
    <row r="10">
      <c r="D10" s="7" t="inlineStr">
        <is>
          <t>슈가 코팅</t>
        </is>
      </c>
      <c r="E10" s="7" t="n">
        <v>17.8</v>
      </c>
      <c r="F10" s="7" t="n">
        <v>506</v>
      </c>
      <c r="G10" s="7" t="n">
        <v>3.52</v>
      </c>
      <c r="H10" s="7" t="n">
        <v>68.7</v>
      </c>
      <c r="I10" s="7" t="n">
        <v>0.75</v>
      </c>
      <c r="J10" s="7" t="n">
        <v>1660</v>
      </c>
      <c r="K10" s="7" t="inlineStr">
        <is>
          <t>단가 부담</t>
        </is>
      </c>
      <c r="L10" s="7" t="inlineStr">
        <is>
          <t>manual est.</t>
        </is>
      </c>
      <c r="M10" s="7" t="inlineStr">
        <is>
          <t>-</t>
        </is>
      </c>
      <c r="O10" s="8" t="n"/>
      <c r="P10" s="8" t="n"/>
      <c r="Q10" s="8" t="n"/>
    </row>
    <row r="11">
      <c r="D11" s="7" t="inlineStr">
        <is>
          <t>토핑 추가</t>
        </is>
      </c>
      <c r="E11" s="7" t="n">
        <v>33.2</v>
      </c>
      <c r="F11" s="7" t="n">
        <v>506</v>
      </c>
      <c r="G11" s="7" t="n">
        <v>6.56</v>
      </c>
      <c r="H11" s="7" t="n">
        <v>80.90000000000001</v>
      </c>
      <c r="I11" s="7" t="n">
        <v>0.8</v>
      </c>
      <c r="J11" s="7" t="n">
        <v>1690</v>
      </c>
      <c r="K11" s="7" t="inlineStr">
        <is>
          <t>시식회 선호</t>
        </is>
      </c>
      <c r="L11" s="7" t="inlineStr">
        <is>
          <t>sugar glaze</t>
        </is>
      </c>
      <c r="M11" s="7" t="inlineStr">
        <is>
          <t>★</t>
        </is>
      </c>
      <c r="O11" s="8" t="n"/>
      <c r="P11" s="8" t="n"/>
      <c r="Q11" s="8" t="n"/>
    </row>
    <row r="12">
      <c r="D12" s="7" t="inlineStr">
        <is>
          <t>럼+토핑</t>
        </is>
      </c>
      <c r="E12" s="7" t="n">
        <v>55.5</v>
      </c>
      <c r="F12" s="7" t="n">
        <v>506</v>
      </c>
      <c r="G12" s="7" t="n">
        <v>10.97</v>
      </c>
      <c r="H12" s="7" t="n">
        <v>83.8</v>
      </c>
      <c r="I12" s="7" t="n">
        <v>0.87</v>
      </c>
      <c r="J12" s="7" t="n">
        <v>1700</v>
      </c>
      <c r="K12" s="7" t="inlineStr">
        <is>
          <t>선물용 반응↑</t>
        </is>
      </c>
      <c r="L12" s="7" t="inlineStr">
        <is>
          <t>top deco</t>
        </is>
      </c>
      <c r="M12" s="7" t="inlineStr">
        <is>
          <t>★</t>
        </is>
      </c>
    </row>
    <row r="13">
      <c r="D13" s="7" t="inlineStr">
        <is>
          <t>코팅+토핑</t>
        </is>
      </c>
      <c r="E13" s="7" t="n">
        <v>51.7</v>
      </c>
      <c r="F13" s="7" t="n">
        <v>506</v>
      </c>
      <c r="G13" s="7" t="n">
        <v>10.22</v>
      </c>
      <c r="H13" s="7" t="n">
        <v>75.3</v>
      </c>
      <c r="I13" s="7" t="n">
        <v>0.82</v>
      </c>
      <c r="J13" s="7" t="n">
        <v>1620</v>
      </c>
      <c r="K13" s="7" t="inlineStr">
        <is>
          <t>시식회 선호</t>
        </is>
      </c>
      <c r="L13" s="7" t="inlineStr">
        <is>
          <t>top deco</t>
        </is>
      </c>
      <c r="M13" s="7" t="inlineStr">
        <is>
          <t>-</t>
        </is>
      </c>
    </row>
  </sheetData>
  <mergeCells count="3">
    <mergeCell ref="O7:Q11"/>
    <mergeCell ref="D2:Q3"/>
    <mergeCell ref="O6:Q6"/>
  </mergeCells>
  <pageMargins left="0.5" right="0.5" top="0.6" bottom="0.6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2026-08-23T17:19:53Z</dcterms:created>
  <dcterms:modified xmlns:dcterms="http://purl.org/dc/terms/" xmlns:xsi="http://www.w3.org/2001/XMLSchema-instance" xsi:type="dcterms:W3CDTF">2026-08-23T17:19:54Z</dcterms:modified>
</cp:coreProperties>
</file>