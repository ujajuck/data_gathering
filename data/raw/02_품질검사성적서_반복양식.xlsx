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2b7c169d4246f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검사결과" sheetId="1" r:id="Raf1bc3a2deaf468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b/>
      <x:sz val="13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7F6000"/>
      </x:patternFill>
    </x:fill>
    <x:fill>
      <x:patternFill patternType="solid">
        <x:fgColor rgb="FF5B5B5B"/>
      </x:patternFill>
    </x:fill>
    <x:fill>
      <x:patternFill patternType="solid">
        <x:fgColor rgb="FFFFF2CC"/>
      </x:patternFill>
    </x:fill>
    <x:fill>
      <x:patternFill patternType="solid">
        <x:fgColor rgb="FFE7E6E6"/>
      </x:patternFill>
    </x:fill>
    <x:fill>
      <x:patternFill patternType="solid">
        <x:fgColor rgb="FFF4CCCC"/>
      </x:patternFill>
    </x:fill>
    <x:fill>
      <x:patternFill patternType="solid">
        <x:fgColor rgb="FFE5E7EB"/>
      </x:patternFill>
    </x:fill>
    <x:fill>
      <x:patternFill patternType="solid">
        <x:fgColor rgb="FF806000"/>
      </x:patternFill>
    </x:fill>
    <x:fill>
      <x:patternFill patternType="solid">
        <x:fgColor rgb="FFD9EAD3"/>
      </x:patternFill>
    </x:fill>
    <x:fill>
      <x:patternFill patternType="solid">
        <x:fgColor rgb="FFFAFAFA"/>
      </x:patternFill>
    </x:fill>
  </x:fills>
  <x:borders count="4">
    <x:border/>
    <x:border/>
    <x:border>
      <x:left style="thin">
        <x:color rgb="FFB8BDC7"/>
      </x:left>
      <x:right style="thin">
        <x:color rgb="FFB8BDC7"/>
      </x:right>
      <x:top style="thin">
        <x:color rgb="FFB8BDC7"/>
      </x:top>
      <x:bottom style="thin">
        <x:color rgb="FFB8BDC7"/>
      </x:bottom>
    </x:border>
    <x:border>
      <x:left style="thin">
        <x:color rgb="FFB8BDC7"/>
      </x:left>
      <x:right style="thin">
        <x:color rgb="FFB8BDC7"/>
      </x:right>
      <x:top style="thin">
        <x:color rgb="FFB8BDC7"/>
      </x:top>
      <x:bottom style="thin">
        <x:color rgb="FFB8BDC7"/>
      </x:bottom>
    </x:border>
  </x:borders>
  <x:cellStyleXfs count="1">
    <x:xf numFmtId="0" fontId="0" fillId="0" borderId="0"/>
  </x:cellStyleXfs>
  <x:cellXfs count="8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2" fillId="3" borderId="2" xfId="0" applyNumberFormat="1" applyFont="1" applyFill="1" applyBorder="1"/>
    <x:xf numFmtId="0" fontId="0" fillId="4" borderId="2" xfId="0" applyNumberFormat="1" applyFont="1" applyFill="1" applyBorder="1"/>
    <x:xf numFmtId="0" fontId="0" fillId="0" borderId="2" xfId="0" applyNumberFormat="1" applyFont="1" applyFill="1" applyBorder="1"/>
    <x:xf numFmtId="0" fontId="0" fillId="5" borderId="2" xfId="0" applyNumberFormat="1" applyFont="1" applyFill="1" applyBorder="1"/>
    <x:xf numFmtId="0" fontId="0" fillId="6" borderId="2" xfId="0" applyNumberFormat="1" applyFont="1" applyFill="1" applyBorder="1"/>
    <x:xf numFmtId="0" fontId="2" fillId="3" borderId="3" xfId="0" applyNumberFormat="1" applyFont="1" applyFill="1" applyBorder="1"/>
    <x:xf numFmtId="0" fontId="0" fillId="4" borderId="3" xfId="0" applyNumberFormat="1" applyFont="1" applyFill="1" applyBorder="1"/>
    <x:xf numFmtId="0" fontId="0" fillId="0" borderId="3" xfId="0" applyNumberFormat="1" applyFont="1" applyFill="1" applyBorder="1"/>
    <x:xf numFmtId="0" fontId="0" fillId="5" borderId="3" xfId="0" applyNumberFormat="1" applyFont="1" applyFill="1" applyBorder="1"/>
    <x:xf numFmtId="0" fontId="0" fillId="6" borderId="3" xfId="0" applyNumberFormat="1" applyFont="1" applyFill="1" applyBorder="1"/>
    <x:xf numFmtId="0" fontId="2" fillId="3" borderId="2" xfId="0" applyNumberFormat="1" applyFont="1" applyFill="1" applyBorder="1" applyAlignment="1">
      <x:alignment vertical="center"/>
    </x:xf>
    <x:xf numFmtId="0" fontId="0" fillId="4" borderId="2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vertical="center"/>
    </x:xf>
    <x:xf numFmtId="0" fontId="0" fillId="5" borderId="2" xfId="0" applyNumberFormat="1" applyFont="1" applyFill="1" applyBorder="1" applyAlignment="1">
      <x:alignment vertical="center"/>
    </x:xf>
    <x:xf numFmtId="0" fontId="0" fillId="6" borderId="2" xfId="0" applyNumberFormat="1" applyFont="1" applyFill="1" applyBorder="1" applyAlignment="1">
      <x:alignment vertical="center"/>
    </x:xf>
    <x:xf numFmtId="0" fontId="2" fillId="3" borderId="3" xfId="0" applyNumberFormat="1" applyFont="1" applyFill="1" applyBorder="1" applyAlignment="1">
      <x:alignment vertical="center"/>
    </x:xf>
    <x:xf numFmtId="0" fontId="0" fillId="4" borderId="3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  <x:xf numFmtId="0" fontId="0" fillId="5" borderId="3" xfId="0" applyNumberFormat="1" applyFont="1" applyFill="1" applyBorder="1" applyAlignment="1">
      <x:alignment vertical="center"/>
    </x:xf>
    <x:xf numFmtId="0" fontId="0" fillId="6" borderId="3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0" fontId="0" fillId="7" borderId="1" xfId="0" applyNumberFormat="1" applyFont="1" applyFill="1" applyBorder="1" applyAlignment="1">
      <x:alignment wrapText="1"/>
    </x:xf>
    <x:xf numFmtId="0" fontId="0" fillId="7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7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7" borderId="2" xfId="0" applyNumberFormat="1" applyFont="1" applyFill="1" applyBorder="1" applyAlignment="1">
      <x:alignment vertical="center" wrapText="1"/>
    </x:xf>
    <x:xf numFmtId="0" fontId="0" fillId="0" borderId="2" xfId="0" applyNumberFormat="1" applyFont="1" applyFill="1" applyBorder="1" applyAlignment="1">
      <x:alignment vertical="center" wrapText="1"/>
    </x:xf>
    <x:xf numFmtId="0" fontId="0" fillId="7" borderId="3" xfId="0" applyNumberFormat="1" applyFont="1" applyFill="1" applyBorder="1" applyAlignment="1">
      <x:alignment vertical="center" wrapText="1"/>
    </x:xf>
    <x:xf numFmtId="0" fontId="0" fillId="0" borderId="3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0" fillId="8" borderId="1" xfId="0" applyNumberFormat="1" applyFont="1" applyFill="1" applyBorder="1"/>
    <x:xf numFmtId="0" fontId="2" fillId="8" borderId="0" xfId="0" applyNumberFormat="1" applyFont="1" applyFill="1" applyBorder="1"/>
    <x:xf numFmtId="0" fontId="2" fillId="8" borderId="1" xfId="0" applyNumberFormat="1" applyFont="1" applyFill="1" applyBorder="1"/>
    <x:xf numFmtId="0" fontId="2" fillId="8" borderId="0" xfId="0" applyNumberFormat="1" applyFont="1" applyFill="1" applyBorder="1" applyAlignment="1">
      <x:alignment horizontal="center"/>
    </x:xf>
    <x:xf numFmtId="0" fontId="2" fillId="8" borderId="1" xfId="0" applyNumberFormat="1" applyFont="1" applyFill="1" applyBorder="1" applyAlignment="1">
      <x:alignment horizontal="center"/>
    </x:xf>
    <x:xf numFmtId="0" fontId="2" fillId="8" borderId="2" xfId="0" applyNumberFormat="1" applyFont="1" applyFill="1" applyBorder="1" applyAlignment="1">
      <x:alignment horizontal="center"/>
    </x:xf>
    <x:xf numFmtId="0" fontId="2" fillId="8" borderId="3" xfId="0" applyNumberFormat="1" applyFont="1" applyFill="1" applyBorder="1" applyAlignment="1">
      <x:alignment horizontal="center"/>
    </x:xf>
    <x:xf numFmtId="0" fontId="2" fillId="8" borderId="2" xfId="0" applyNumberFormat="1" applyFont="1" applyFill="1" applyBorder="1" applyAlignment="1">
      <x:alignment horizontal="center" vertical="center"/>
    </x:xf>
    <x:xf numFmtId="0" fontId="2" fillId="8" borderId="3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0" fillId="9" borderId="1" xfId="0" applyNumberFormat="1" applyFont="1" applyFill="1" applyBorder="1"/>
    <x:xf numFmtId="0" fontId="0" fillId="9" borderId="2" xfId="0" applyNumberFormat="1" applyFont="1" applyFill="1" applyBorder="1"/>
    <x:xf numFmtId="0" fontId="0" fillId="9" borderId="3" xfId="0" applyNumberFormat="1" applyFont="1" applyFill="1" applyBorder="1"/>
    <x:xf numFmtId="0" fontId="0" fillId="9" borderId="2" xfId="0" applyNumberFormat="1" applyFont="1" applyFill="1" applyBorder="1" applyAlignment="1">
      <x:alignment vertical="center"/>
    </x:xf>
    <x:xf numFmtId="0" fontId="0" fillId="9" borderId="3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0" fillId="7" borderId="2" xfId="0" applyNumberFormat="1" applyFont="1" applyFill="1" applyBorder="1"/>
    <x:xf numFmtId="0" fontId="0" fillId="7" borderId="3" xfId="0" applyNumberFormat="1" applyFont="1" applyFill="1" applyBorder="1"/>
    <x:xf numFmtId="0" fontId="0" fillId="7" borderId="2" xfId="0" applyNumberFormat="1" applyFont="1" applyFill="1" applyBorder="1" applyAlignment="1">
      <x:alignment vertical="center"/>
    </x:xf>
    <x:xf numFmtId="0" fontId="0" fillId="7" borderId="3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0" fillId="10" borderId="1" xfId="0" applyNumberFormat="1" applyFont="1" applyFill="1" applyBorder="1"/>
    <x:xf numFmtId="0" fontId="0" fillId="10" borderId="0" xfId="0" applyNumberFormat="1" applyFont="1" applyFill="1" applyBorder="1" applyAlignment="1">
      <x:alignment wrapText="1"/>
    </x:xf>
    <x:xf numFmtId="0" fontId="0" fillId="10" borderId="1" xfId="0" applyNumberFormat="1" applyFont="1" applyFill="1" applyBorder="1" applyAlignment="1">
      <x:alignment wrapText="1"/>
    </x:xf>
    <x:xf numFmtId="0" fontId="0" fillId="10" borderId="2" xfId="0" applyNumberFormat="1" applyFont="1" applyFill="1" applyBorder="1" applyAlignment="1">
      <x:alignment wrapText="1"/>
    </x:xf>
    <x:xf numFmtId="0" fontId="0" fillId="10" borderId="3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5b8239862974cda" /><Relationship Type="http://schemas.openxmlformats.org/officeDocument/2006/relationships/theme" Target="/xl/theme/theme1.xml" Id="Re1af16bd4348400c" /><Relationship Type="http://schemas.openxmlformats.org/officeDocument/2006/relationships/sharedStrings" Target="/xl/sharedStrings.xml" Id="R557c4130ec89453c" /><Relationship Type="http://schemas.openxmlformats.org/officeDocument/2006/relationships/worksheet" Target="/xl/worksheets/sheet1.xml" Id="Raf1bc3a2deaf468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62bb5f59252548fe" /><Relationship Type="http://schemas.openxmlformats.org/officeDocument/2006/relationships/image" Target="/xl/media/image2.png" Id="Rce9156fe801640b3" /><Relationship Type="http://schemas.openxmlformats.org/officeDocument/2006/relationships/image" Target="/xl/media/image3.png" Id="Rbe191f7c9ca94316" /></Relationships>
</file>

<file path=xl/drawings/drawing1.xml><?xml version="1.0" encoding="utf-8"?>
<xdr:wsDr xmlns:xdr="http://schemas.openxmlformats.org/drawingml/2006/spreadsheetDrawing">
  <xdr:oneCellAnchor>
    <xdr:from>
      <xdr:col>7</xdr:col>
      <xdr:colOff>0</xdr:colOff>
      <xdr:row>5</xdr:row>
      <xdr:rowOff>0</xdr:rowOff>
    </xdr:from>
    <xdr:ext cx="2381250" cy="1000125"/>
    <xdr:pic>
      <xdr:nvPicPr>
        <xdr:cNvPr id="1" name="ebc3777a-55e6-4eb0-89cb-18a68a19da9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2bb5f59252548f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7</xdr:col>
      <xdr:colOff>0</xdr:colOff>
      <xdr:row>22</xdr:row>
      <xdr:rowOff>0</xdr:rowOff>
    </xdr:from>
    <xdr:ext cx="2381250" cy="1000125"/>
    <xdr:pic>
      <xdr:nvPicPr>
        <xdr:cNvPr id="2" name="181101e1-e135-4f68-ab83-1f1ec1af742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e9156fe801640b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7</xdr:col>
      <xdr:colOff>0</xdr:colOff>
      <xdr:row>39</xdr:row>
      <xdr:rowOff>0</xdr:rowOff>
    </xdr:from>
    <xdr:ext cx="2381250" cy="1000125"/>
    <xdr:pic>
      <xdr:nvPicPr>
        <xdr:cNvPr id="3" name="2ea5ecb2-ef48-4a08-8ab7-ea19fde4820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e191f7c9ca9431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5b835f584a9433d" /></Relationships>
</file>

<file path=xl/worksheets/sheet1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2" hidden="0" customWidth="1"/>
    <x:col min="3" max="3" width="12" hidden="0" customWidth="1"/>
    <x:col min="4" max="4" width="12" hidden="0" customWidth="1"/>
    <x:col min="5" max="5" width="13" hidden="0" customWidth="1"/>
    <x:col min="6" max="6" width="12" hidden="0" customWidth="1"/>
    <x:col min="7" max="7" width="12" hidden="0" customWidth="1"/>
    <x:col min="8" max="8" width="13" hidden="0" customWidth="1"/>
    <x:col min="9" max="9" width="13" hidden="0" customWidth="1"/>
    <x:col min="10" max="10" width="13" hidden="0" customWidth="1"/>
    <x:col min="12" max="12" width="12" hidden="0" customWidth="1"/>
    <x:col min="13" max="13" width="18" hidden="0" customWidth="1"/>
  </x:cols>
  <x:sheetData>
    <x:row r="1">
      <x:c r="A1" s="6" t="str">
        <x:v>LOT 품질검사 성적서</x:v>
      </x:c>
      <x:c r="B1" s="6"/>
      <x:c r="C1" s="6"/>
      <x:c r="D1" s="6"/>
      <x:c r="E1" s="6"/>
      <x:c r="F1" s="6"/>
      <x:c r="G1" s="6"/>
      <x:c r="H1" s="6"/>
      <x:c r="I1" s="6"/>
      <x:c r="J1" s="6"/>
    </x:row>
    <x:row r="2">
      <x:c r="A2" s="6"/>
      <x:c r="B2" s="6"/>
      <x:c r="C2" s="6"/>
      <x:c r="D2" s="6"/>
      <x:c r="E2" s="6"/>
      <x:c r="F2" s="6"/>
      <x:c r="G2" s="6"/>
      <x:c r="H2" s="6"/>
      <x:c r="I2" s="6"/>
      <x:c r="J2" s="6"/>
      <x:c r="L2" s="28" t="str">
        <x:v>셀 색상 의미</x:v>
      </x:c>
      <x:c r="M2" s="28"/>
    </x:row>
    <x:row r="3">
      <x:c r="L3" s="29" t="str">
        <x:v>노랑</x:v>
      </x:c>
      <x:c r="M3" s="30" t="str">
        <x:v>검사자 입력</x:v>
      </x:c>
    </x:row>
    <x:row r="4">
      <x:c r="A4" s="38" t="str">
        <x:v>검사성적서 #1  /  LOT-A240818</x:v>
      </x:c>
      <x:c r="B4" s="38"/>
      <x:c r="C4" s="38"/>
      <x:c r="D4" s="38"/>
      <x:c r="E4" s="38"/>
      <x:c r="F4" s="38"/>
      <x:c r="G4" s="38"/>
      <x:c r="H4" s="38"/>
      <x:c r="I4" s="38"/>
      <x:c r="J4" s="38"/>
      <x:c r="L4" s="31" t="str">
        <x:v>회색</x:v>
      </x:c>
      <x:c r="M4" s="30" t="str">
        <x:v>수식/자동계산</x:v>
      </x:c>
    </x:row>
    <x:row r="5">
      <x:c r="A5" s="48" t="str">
        <x:v>LOT</x:v>
      </x:c>
      <x:c r="B5" s="49" t="str">
        <x:v>LOT-A240818</x:v>
      </x:c>
      <x:c r="C5" s="48" t="str">
        <x:v>품명</x:v>
      </x:c>
      <x:c r="D5" s="49" t="str">
        <x:v>VALVE SEAT</x:v>
      </x:c>
      <x:c r="E5" s="49"/>
      <x:c r="F5" s="48" t="str">
        <x:v>검사일</x:v>
      </x:c>
      <x:c r="G5" s="49" t="str">
        <x:v>2026-08-18</x:v>
      </x:c>
      <x:c r="L5" s="32" t="str">
        <x:v>빨강</x:v>
      </x:c>
      <x:c r="M5" s="30" t="str">
        <x:v>규격 이탈</x:v>
      </x:c>
    </x:row>
    <x:row r="6">
      <x:c r="A6" s="48" t="str">
        <x:v>검사자</x:v>
      </x:c>
      <x:c r="B6" s="49" t="str">
        <x:v>박검사</x:v>
      </x:c>
      <x:c r="C6" s="48" t="str">
        <x:v>검사기준</x:v>
      </x:c>
      <x:c r="D6" s="49" t="str">
        <x:v>외경 25.00±0.05 / 길이 48.10±0.10</x:v>
      </x:c>
      <x:c r="E6" s="49"/>
      <x:c r="F6" s="48" t="str">
        <x:v>강도기준</x:v>
      </x:c>
      <x:c r="G6" s="49" t="str">
        <x:v>≥ 610 MPa</x:v>
      </x:c>
    </x:row>
    <x:row r="8">
      <x:c r="A8" s="60" t="str">
        <x:v>시료</x:v>
      </x:c>
      <x:c r="B8" s="60" t="str">
        <x:v>치수 검사 (mm)</x:v>
      </x:c>
      <x:c r="C8" s="60"/>
      <x:c r="D8" s="60"/>
      <x:c r="E8" s="60" t="str">
        <x:v>물성 검사</x:v>
      </x:c>
      <x:c r="F8" s="60"/>
      <x:c r="G8" s="60" t="str">
        <x:v>판정</x:v>
      </x:c>
    </x:row>
    <x:row r="9">
      <x:c r="A9" s="60"/>
      <x:c r="B9" s="60" t="str">
        <x:v>외경</x:v>
      </x:c>
      <x:c r="C9" s="60" t="str">
        <x:v>길이</x:v>
      </x:c>
      <x:c r="D9" s="60" t="str">
        <x:v>두께</x:v>
      </x:c>
      <x:c r="E9" s="60" t="str">
        <x:v>강도(MPa)</x:v>
      </x:c>
      <x:c r="F9" s="60" t="str">
        <x:v>수분(%)</x:v>
      </x:c>
      <x:c r="G9" s="60"/>
    </x:row>
    <x:row r="10">
      <x:c r="A10" s="30" t="str">
        <x:v>S1</x:v>
      </x:c>
      <x:c r="B10" s="29" t="n">
        <x:v>25.02</x:v>
      </x:c>
      <x:c r="C10" s="29" t="n">
        <x:v>48.1</x:v>
      </x:c>
      <x:c r="D10" s="29" t="n">
        <x:v>2.51</x:v>
      </x:c>
      <x:c r="E10" s="29" t="n">
        <x:v>620</x:v>
      </x:c>
      <x:c r="F10" s="29" t="n">
        <x:v>0.18</x:v>
      </x:c>
      <x:c r="G10" s="66" t="str">
        <x:f>IF(AND(B10&gt;=24.95,B10&lt;=25.05,C10&gt;=48,C10&lt;=48.2,D10&gt;=2.45,D10&lt;=2.55,E10&gt;=610,F10&lt;=0.25),"합격","부적합")</x:f>
        <x:v>합격</x:v>
      </x:c>
    </x:row>
    <x:row r="11">
      <x:c r="A11" s="30" t="str">
        <x:v>S2</x:v>
      </x:c>
      <x:c r="B11" s="29" t="n">
        <x:v>25.01</x:v>
      </x:c>
      <x:c r="C11" s="29" t="n">
        <x:v>48.08</x:v>
      </x:c>
      <x:c r="D11" s="29" t="n">
        <x:v>2.5</x:v>
      </x:c>
      <x:c r="E11" s="29" t="n">
        <x:v>615</x:v>
      </x:c>
      <x:c r="F11" s="29" t="n">
        <x:v>0.17</x:v>
      </x:c>
      <x:c r="G11" s="66" t="str">
        <x:f>IF(AND(B11&gt;=24.95,B11&lt;=25.05,C11&gt;=48,C11&lt;=48.2,D11&gt;=2.45,D11&lt;=2.55,E11&gt;=610,F11&lt;=0.25),"합격","부적합")</x:f>
        <x:v>합격</x:v>
      </x:c>
    </x:row>
    <x:row r="12">
      <x:c r="A12" s="30" t="str">
        <x:v>S3</x:v>
      </x:c>
      <x:c r="B12" s="29" t="n">
        <x:v>25.03</x:v>
      </x:c>
      <x:c r="C12" s="29" t="n">
        <x:v>48.12</x:v>
      </x:c>
      <x:c r="D12" s="29" t="n">
        <x:v>2.49</x:v>
      </x:c>
      <x:c r="E12" s="29" t="n">
        <x:v>623</x:v>
      </x:c>
      <x:c r="F12" s="29" t="n">
        <x:v>0.2</x:v>
      </x:c>
      <x:c r="G12" s="66" t="str">
        <x:f>IF(AND(B12&gt;=24.95,B12&lt;=25.05,C12&gt;=48,C12&lt;=48.2,D12&gt;=2.45,D12&lt;=2.55,E12&gt;=610,F12&lt;=0.25),"합격","부적합")</x:f>
        <x:v>합격</x:v>
      </x:c>
    </x:row>
    <x:row r="13">
      <x:c r="A13" s="31" t="str">
        <x:v>평균</x:v>
      </x:c>
      <x:c r="B13" s="31" t="n">
        <x:f>AVERAGE(B10:B12)</x:f>
        <x:v>25.02</x:v>
      </x:c>
      <x:c r="C13" s="31" t="n">
        <x:f>AVERAGE(C10:C12)</x:f>
        <x:v>48.1</x:v>
      </x:c>
      <x:c r="D13" s="31" t="n">
        <x:f>AVERAGE(D10:D12)</x:f>
        <x:v>2.5</x:v>
      </x:c>
      <x:c r="E13" s="31" t="n">
        <x:f>AVERAGE(E10:E12)</x:f>
        <x:v>619.3333333333334</x:v>
      </x:c>
      <x:c r="F13" s="31" t="n">
        <x:f>AVERAGE(F10:F12)</x:f>
        <x:v>0.18333333333333335</x:v>
      </x:c>
      <x:c r="G13" s="30"/>
    </x:row>
    <x:row r="14">
      <x:c r="A14" s="72" t="str">
        <x:v>최종 판정</x:v>
      </x:c>
      <x:c r="B14" s="72"/>
      <x:c r="C14" s="72"/>
      <x:c r="D14" s="66" t="str">
        <x:f>IF(COUNTIF(G10:G12,"부적합")&gt;0,"재검/부적합","합격")</x:f>
        <x:v>합격</x:v>
      </x:c>
      <x:c r="E14" s="66"/>
      <x:c r="F14" s="66"/>
      <x:c r="G14" s="66"/>
    </x:row>
    <x:row r="15">
      <x:c r="A15" s="78" t="str">
        <x:v>외관검사: 찍힘/버 없음. 사진은 우측 첨부 이미지 참조.</x:v>
      </x:c>
      <x:c r="B15" s="78"/>
      <x:c r="C15" s="78"/>
      <x:c r="D15" s="78"/>
      <x:c r="E15" s="78"/>
      <x:c r="F15" s="78"/>
      <x:c r="G15" s="78"/>
      <x:c r="H15" s="78"/>
      <x:c r="I15" s="78"/>
      <x:c r="J15" s="78"/>
    </x:row>
    <x:row r="16">
      <x:c r="A16" s="78"/>
      <x:c r="B16" s="78"/>
      <x:c r="C16" s="78"/>
      <x:c r="D16" s="78"/>
      <x:c r="E16" s="78"/>
      <x:c r="F16" s="78"/>
      <x:c r="G16" s="78"/>
      <x:c r="H16" s="78"/>
      <x:c r="I16" s="78"/>
      <x:c r="J16" s="78"/>
    </x:row>
    <x:row r="21">
      <x:c r="A21" s="38" t="str">
        <x:v>검사성적서 #2  /  LOT-A240819</x:v>
      </x:c>
      <x:c r="B21" s="38"/>
      <x:c r="C21" s="38"/>
      <x:c r="D21" s="38"/>
      <x:c r="E21" s="38"/>
      <x:c r="F21" s="38"/>
      <x:c r="G21" s="38"/>
      <x:c r="H21" s="38"/>
      <x:c r="I21" s="38"/>
      <x:c r="J21" s="38"/>
    </x:row>
    <x:row r="22">
      <x:c r="A22" s="48" t="str">
        <x:v>LOT</x:v>
      </x:c>
      <x:c r="B22" s="49" t="str">
        <x:v>LOT-A240819</x:v>
      </x:c>
      <x:c r="C22" s="48" t="str">
        <x:v>품명</x:v>
      </x:c>
      <x:c r="D22" s="49" t="str">
        <x:v>VALVE SEAT</x:v>
      </x:c>
      <x:c r="E22" s="49"/>
      <x:c r="F22" s="48" t="str">
        <x:v>검사일</x:v>
      </x:c>
      <x:c r="G22" s="49" t="str">
        <x:v>2026-08-19</x:v>
      </x:c>
    </x:row>
    <x:row r="23">
      <x:c r="A23" s="48" t="str">
        <x:v>검사자</x:v>
      </x:c>
      <x:c r="B23" s="49" t="str">
        <x:v>박검사</x:v>
      </x:c>
      <x:c r="C23" s="48" t="str">
        <x:v>검사기준</x:v>
      </x:c>
      <x:c r="D23" s="49" t="str">
        <x:v>외경 25.00±0.05 / 길이 48.10±0.10</x:v>
      </x:c>
      <x:c r="E23" s="49"/>
      <x:c r="F23" s="48" t="str">
        <x:v>강도기준</x:v>
      </x:c>
      <x:c r="G23" s="49" t="str">
        <x:v>≥ 610 MPa</x:v>
      </x:c>
    </x:row>
    <x:row r="25">
      <x:c r="A25" s="60" t="str">
        <x:v>시료</x:v>
      </x:c>
      <x:c r="B25" s="60" t="str">
        <x:v>치수 검사 (mm)</x:v>
      </x:c>
      <x:c r="C25" s="60"/>
      <x:c r="D25" s="60"/>
      <x:c r="E25" s="60" t="str">
        <x:v>물성 검사</x:v>
      </x:c>
      <x:c r="F25" s="60"/>
      <x:c r="G25" s="60" t="str">
        <x:v>판정</x:v>
      </x:c>
    </x:row>
    <x:row r="26">
      <x:c r="A26" s="60"/>
      <x:c r="B26" s="60" t="str">
        <x:v>외경</x:v>
      </x:c>
      <x:c r="C26" s="60" t="str">
        <x:v>길이</x:v>
      </x:c>
      <x:c r="D26" s="60" t="str">
        <x:v>두께</x:v>
      </x:c>
      <x:c r="E26" s="60" t="str">
        <x:v>강도(MPa)</x:v>
      </x:c>
      <x:c r="F26" s="60" t="str">
        <x:v>수분(%)</x:v>
      </x:c>
      <x:c r="G26" s="60"/>
    </x:row>
    <x:row r="27">
      <x:c r="A27" s="30" t="str">
        <x:v>S1</x:v>
      </x:c>
      <x:c r="B27" s="29" t="n">
        <x:v>25.07</x:v>
      </x:c>
      <x:c r="C27" s="29" t="n">
        <x:v>48.15</x:v>
      </x:c>
      <x:c r="D27" s="29" t="n">
        <x:v>2.54</x:v>
      </x:c>
      <x:c r="E27" s="29" t="n">
        <x:v>608</x:v>
      </x:c>
      <x:c r="F27" s="29" t="n">
        <x:v>0.22</x:v>
      </x:c>
      <x:c r="G27" s="32" t="str">
        <x:f>IF(AND(B27&gt;=24.95,B27&lt;=25.05,C27&gt;=48,C27&lt;=48.2,D27&gt;=2.45,D27&lt;=2.55,E27&gt;=610,F27&lt;=0.25),"합격","부적합")</x:f>
        <x:v>부적합</x:v>
      </x:c>
    </x:row>
    <x:row r="28">
      <x:c r="A28" s="30" t="str">
        <x:v>S2</x:v>
      </x:c>
      <x:c r="B28" s="29" t="n">
        <x:v>25.02</x:v>
      </x:c>
      <x:c r="C28" s="29" t="n">
        <x:v>48.09</x:v>
      </x:c>
      <x:c r="D28" s="29" t="n">
        <x:v>2.51</x:v>
      </x:c>
      <x:c r="E28" s="29" t="n">
        <x:v>612</x:v>
      </x:c>
      <x:c r="F28" s="29" t="n">
        <x:v>0.19</x:v>
      </x:c>
      <x:c r="G28" s="66" t="str">
        <x:f>IF(AND(B28&gt;=24.95,B28&lt;=25.05,C28&gt;=48,C28&lt;=48.2,D28&gt;=2.45,D28&lt;=2.55,E28&gt;=610,F28&lt;=0.25),"합격","부적합")</x:f>
        <x:v>합격</x:v>
      </x:c>
    </x:row>
    <x:row r="29">
      <x:c r="A29" s="30" t="str">
        <x:v>S3</x:v>
      </x:c>
      <x:c r="B29" s="29" t="n">
        <x:v>25.04</x:v>
      </x:c>
      <x:c r="C29" s="29" t="n">
        <x:v>48.11</x:v>
      </x:c>
      <x:c r="D29" s="29" t="n">
        <x:v>2.5</x:v>
      </x:c>
      <x:c r="E29" s="29" t="n">
        <x:v>611</x:v>
      </x:c>
      <x:c r="F29" s="29" t="n">
        <x:v>0.18</x:v>
      </x:c>
      <x:c r="G29" s="66" t="str">
        <x:f>IF(AND(B29&gt;=24.95,B29&lt;=25.05,C29&gt;=48,C29&lt;=48.2,D29&gt;=2.45,D29&lt;=2.55,E29&gt;=610,F29&lt;=0.25),"합격","부적합")</x:f>
        <x:v>합격</x:v>
      </x:c>
    </x:row>
    <x:row r="30">
      <x:c r="A30" s="31" t="str">
        <x:v>평균</x:v>
      </x:c>
      <x:c r="B30" s="31" t="n">
        <x:f>AVERAGE(B27:B29)</x:f>
        <x:v>25.043333333333333</x:v>
      </x:c>
      <x:c r="C30" s="31" t="n">
        <x:f>AVERAGE(C27:C29)</x:f>
        <x:v>48.116666666666674</x:v>
      </x:c>
      <x:c r="D30" s="31" t="n">
        <x:f>AVERAGE(D27:D29)</x:f>
        <x:v>2.5166666666666666</x:v>
      </x:c>
      <x:c r="E30" s="31" t="n">
        <x:f>AVERAGE(E27:E29)</x:f>
        <x:v>610.3333333333334</x:v>
      </x:c>
      <x:c r="F30" s="31" t="n">
        <x:f>AVERAGE(F27:F29)</x:f>
        <x:v>0.19666666666666668</x:v>
      </x:c>
      <x:c r="G30" s="30"/>
    </x:row>
    <x:row r="31">
      <x:c r="A31" s="72" t="str">
        <x:v>최종 판정</x:v>
      </x:c>
      <x:c r="B31" s="72"/>
      <x:c r="C31" s="72"/>
      <x:c r="D31" s="32" t="str">
        <x:f>IF(COUNTIF(G27:G29,"부적합")&gt;0,"재검/부적합","합격")</x:f>
        <x:v>재검/부적합</x:v>
      </x:c>
      <x:c r="E31" s="32"/>
      <x:c r="F31" s="32"/>
      <x:c r="G31" s="32"/>
    </x:row>
    <x:row r="32">
      <x:c r="A32" s="78" t="str">
        <x:v>외관검사: 찍힘/버 없음. 사진은 우측 첨부 이미지 참조.</x:v>
      </x:c>
      <x:c r="B32" s="78"/>
      <x:c r="C32" s="78"/>
      <x:c r="D32" s="78"/>
      <x:c r="E32" s="78"/>
      <x:c r="F32" s="78"/>
      <x:c r="G32" s="78"/>
      <x:c r="H32" s="78"/>
      <x:c r="I32" s="78"/>
      <x:c r="J32" s="78"/>
    </x:row>
    <x:row r="33">
      <x:c r="A33" s="78"/>
      <x:c r="B33" s="78"/>
      <x:c r="C33" s="78"/>
      <x:c r="D33" s="78"/>
      <x:c r="E33" s="78"/>
      <x:c r="F33" s="78"/>
      <x:c r="G33" s="78"/>
      <x:c r="H33" s="78"/>
      <x:c r="I33" s="78"/>
      <x:c r="J33" s="78"/>
    </x:row>
    <x:row r="38">
      <x:c r="A38" s="38" t="str">
        <x:v>검사성적서 #3  /  LOT-B240820</x:v>
      </x:c>
      <x:c r="B38" s="38"/>
      <x:c r="C38" s="38"/>
      <x:c r="D38" s="38"/>
      <x:c r="E38" s="38"/>
      <x:c r="F38" s="38"/>
      <x:c r="G38" s="38"/>
      <x:c r="H38" s="38"/>
      <x:c r="I38" s="38"/>
      <x:c r="J38" s="38"/>
    </x:row>
    <x:row r="39">
      <x:c r="A39" s="48" t="str">
        <x:v>LOT</x:v>
      </x:c>
      <x:c r="B39" s="49" t="str">
        <x:v>LOT-B240820</x:v>
      </x:c>
      <x:c r="C39" s="48" t="str">
        <x:v>품명</x:v>
      </x:c>
      <x:c r="D39" s="49" t="str">
        <x:v>SHAFT RING</x:v>
      </x:c>
      <x:c r="E39" s="49"/>
      <x:c r="F39" s="48" t="str">
        <x:v>검사일</x:v>
      </x:c>
      <x:c r="G39" s="49" t="str">
        <x:v>2026-08-20</x:v>
      </x:c>
    </x:row>
    <x:row r="40">
      <x:c r="A40" s="48" t="str">
        <x:v>검사자</x:v>
      </x:c>
      <x:c r="B40" s="49" t="str">
        <x:v>최검사</x:v>
      </x:c>
      <x:c r="C40" s="48" t="str">
        <x:v>검사기준</x:v>
      </x:c>
      <x:c r="D40" s="49" t="str">
        <x:v>외경 25.00±0.05 / 길이 48.10±0.10</x:v>
      </x:c>
      <x:c r="E40" s="49"/>
      <x:c r="F40" s="48" t="str">
        <x:v>강도기준</x:v>
      </x:c>
      <x:c r="G40" s="49" t="str">
        <x:v>≥ 610 MPa</x:v>
      </x:c>
    </x:row>
    <x:row r="42">
      <x:c r="A42" s="60" t="str">
        <x:v>시료</x:v>
      </x:c>
      <x:c r="B42" s="60" t="str">
        <x:v>치수 검사 (mm)</x:v>
      </x:c>
      <x:c r="C42" s="60"/>
      <x:c r="D42" s="60"/>
      <x:c r="E42" s="60" t="str">
        <x:v>물성 검사</x:v>
      </x:c>
      <x:c r="F42" s="60"/>
      <x:c r="G42" s="60" t="str">
        <x:v>판정</x:v>
      </x:c>
    </x:row>
    <x:row r="43">
      <x:c r="A43" s="60"/>
      <x:c r="B43" s="60" t="str">
        <x:v>외경</x:v>
      </x:c>
      <x:c r="C43" s="60" t="str">
        <x:v>길이</x:v>
      </x:c>
      <x:c r="D43" s="60" t="str">
        <x:v>두께</x:v>
      </x:c>
      <x:c r="E43" s="60" t="str">
        <x:v>강도(MPa)</x:v>
      </x:c>
      <x:c r="F43" s="60" t="str">
        <x:v>수분(%)</x:v>
      </x:c>
      <x:c r="G43" s="60"/>
    </x:row>
    <x:row r="44">
      <x:c r="A44" s="30" t="str">
        <x:v>S1</x:v>
      </x:c>
      <x:c r="B44" s="29" t="n">
        <x:v>24.99</x:v>
      </x:c>
      <x:c r="C44" s="29" t="n">
        <x:v>48.05</x:v>
      </x:c>
      <x:c r="D44" s="29" t="n">
        <x:v>2.47</x:v>
      </x:c>
      <x:c r="E44" s="29" t="n">
        <x:v>625</x:v>
      </x:c>
      <x:c r="F44" s="29" t="n">
        <x:v>0.16</x:v>
      </x:c>
      <x:c r="G44" s="66" t="str">
        <x:f>IF(AND(B44&gt;=24.95,B44&lt;=25.05,C44&gt;=48,C44&lt;=48.2,D44&gt;=2.45,D44&lt;=2.55,E44&gt;=610,F44&lt;=0.25),"합격","부적합")</x:f>
        <x:v>합격</x:v>
      </x:c>
    </x:row>
    <x:row r="45">
      <x:c r="A45" s="30" t="str">
        <x:v>S2</x:v>
      </x:c>
      <x:c r="B45" s="29" t="n">
        <x:v>25</x:v>
      </x:c>
      <x:c r="C45" s="29" t="n">
        <x:v>48.07</x:v>
      </x:c>
      <x:c r="D45" s="29" t="n">
        <x:v>2.48</x:v>
      </x:c>
      <x:c r="E45" s="29" t="n">
        <x:v>628</x:v>
      </x:c>
      <x:c r="F45" s="29" t="n">
        <x:v>0.17</x:v>
      </x:c>
      <x:c r="G45" s="66" t="str">
        <x:f>IF(AND(B45&gt;=24.95,B45&lt;=25.05,C45&gt;=48,C45&lt;=48.2,D45&gt;=2.45,D45&lt;=2.55,E45&gt;=610,F45&lt;=0.25),"합격","부적합")</x:f>
        <x:v>합격</x:v>
      </x:c>
    </x:row>
    <x:row r="46">
      <x:c r="A46" s="30" t="str">
        <x:v>S3</x:v>
      </x:c>
      <x:c r="B46" s="29" t="n">
        <x:v>25.01</x:v>
      </x:c>
      <x:c r="C46" s="29" t="n">
        <x:v>48.06</x:v>
      </x:c>
      <x:c r="D46" s="29" t="n">
        <x:v>2.49</x:v>
      </x:c>
      <x:c r="E46" s="29" t="n">
        <x:v>622</x:v>
      </x:c>
      <x:c r="F46" s="29" t="n">
        <x:v>0.16</x:v>
      </x:c>
      <x:c r="G46" s="66" t="str">
        <x:f>IF(AND(B46&gt;=24.95,B46&lt;=25.05,C46&gt;=48,C46&lt;=48.2,D46&gt;=2.45,D46&lt;=2.55,E46&gt;=610,F46&lt;=0.25),"합격","부적합")</x:f>
        <x:v>합격</x:v>
      </x:c>
    </x:row>
    <x:row r="47">
      <x:c r="A47" s="31" t="str">
        <x:v>평균</x:v>
      </x:c>
      <x:c r="B47" s="31" t="n">
        <x:f>AVERAGE(B44:B46)</x:f>
        <x:v>25</x:v>
      </x:c>
      <x:c r="C47" s="31" t="n">
        <x:f>AVERAGE(C44:C46)</x:f>
        <x:v>48.06</x:v>
      </x:c>
      <x:c r="D47" s="31" t="n">
        <x:f>AVERAGE(D44:D46)</x:f>
        <x:v>2.48</x:v>
      </x:c>
      <x:c r="E47" s="31" t="n">
        <x:f>AVERAGE(E44:E46)</x:f>
        <x:v>625</x:v>
      </x:c>
      <x:c r="F47" s="31" t="n">
        <x:f>AVERAGE(F44:F46)</x:f>
        <x:v>0.16333333333333333</x:v>
      </x:c>
      <x:c r="G47" s="30"/>
    </x:row>
    <x:row r="48">
      <x:c r="A48" s="72" t="str">
        <x:v>최종 판정</x:v>
      </x:c>
      <x:c r="B48" s="72"/>
      <x:c r="C48" s="72"/>
      <x:c r="D48" s="66" t="str">
        <x:f>IF(COUNTIF(G44:G46,"부적합")&gt;0,"재검/부적합","합격")</x:f>
        <x:v>합격</x:v>
      </x:c>
      <x:c r="E48" s="66"/>
      <x:c r="F48" s="66"/>
      <x:c r="G48" s="66"/>
    </x:row>
    <x:row r="49">
      <x:c r="A49" s="78" t="str">
        <x:v>외관검사: 찍힘/버 없음. 사진은 우측 첨부 이미지 참조.</x:v>
      </x:c>
      <x:c r="B49" s="78"/>
      <x:c r="C49" s="78"/>
      <x:c r="D49" s="78"/>
      <x:c r="E49" s="78"/>
      <x:c r="F49" s="78"/>
      <x:c r="G49" s="78"/>
      <x:c r="H49" s="78"/>
      <x:c r="I49" s="78"/>
      <x:c r="J49" s="78"/>
    </x:row>
    <x:row r="50">
      <x:c r="A50" s="78"/>
      <x:c r="B50" s="78"/>
      <x:c r="C50" s="78"/>
      <x:c r="D50" s="78"/>
      <x:c r="E50" s="78"/>
      <x:c r="F50" s="78"/>
      <x:c r="G50" s="78"/>
      <x:c r="H50" s="78"/>
      <x:c r="I50" s="78"/>
      <x:c r="J50" s="78"/>
    </x:row>
  </x:sheetData>
  <x:mergeCells>
    <x:mergeCell ref="A1:J2"/>
    <x:mergeCell ref="L2:M2"/>
    <x:mergeCell ref="A4:J4"/>
    <x:mergeCell ref="D6:E6"/>
    <x:mergeCell ref="A8:A9"/>
    <x:mergeCell ref="B8:D8"/>
    <x:mergeCell ref="E8:F8"/>
    <x:mergeCell ref="G8:G9"/>
    <x:mergeCell ref="A14:C14"/>
    <x:mergeCell ref="D14:G14"/>
    <x:mergeCell ref="A15:J16"/>
    <x:mergeCell ref="A21:J21"/>
    <x:mergeCell ref="D23:E23"/>
    <x:mergeCell ref="A25:A26"/>
    <x:mergeCell ref="B25:D25"/>
    <x:mergeCell ref="E25:F25"/>
    <x:mergeCell ref="G25:G26"/>
    <x:mergeCell ref="A31:C31"/>
    <x:mergeCell ref="D31:G31"/>
    <x:mergeCell ref="A32:J33"/>
    <x:mergeCell ref="A38:J38"/>
    <x:mergeCell ref="D40:E40"/>
    <x:mergeCell ref="A42:A43"/>
    <x:mergeCell ref="B42:D42"/>
    <x:mergeCell ref="E42:F42"/>
    <x:mergeCell ref="G42:G43"/>
    <x:mergeCell ref="A48:C48"/>
    <x:mergeCell ref="D48:G48"/>
    <x:mergeCell ref="A49:J50"/>
  </x:mergeCells>
  <x:pageMargins left="0.7" right="0.7" top="0.75" bottom="0.75" header="0.3" footer="0.3"/>
  <x:drawing xmlns:r="http://schemas.openxmlformats.org/officeDocument/2006/relationships" r:id="Rc5b835f584a9433d"/>
</x:worksheet>
</file>