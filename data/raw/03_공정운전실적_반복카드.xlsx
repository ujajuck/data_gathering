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56b9b7eb79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운전" sheetId="1" r:id="R5b67b5e2ffc3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75623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E5E7EB"/>
      </x:patternFill>
    </x:fill>
    <x:fill>
      <x:patternFill patternType="solid">
        <x:fgColor rgb="FF548235"/>
      </x:patternFill>
    </x:fill>
    <x:fill>
      <x:patternFill patternType="solid">
        <x:fgColor rgb="FFD9EAD3"/>
      </x:patternFill>
    </x:fill>
    <x:fill>
      <x:patternFill patternType="solid">
        <x:fgColor rgb="FFFAFAFA"/>
      </x:patternFill>
    </x:fill>
  </x:fills>
  <x:borders count="4">
    <x:border/>
    <x:border/>
    <x:border>
      <x:left style="thin">
        <x:color rgb="FFB8BDC7"/>
      </x:left>
      <x:right style="thin">
        <x:color rgb="FFB8BDC7"/>
      </x:right>
      <x:top style="thin">
        <x:color rgb="FFB8BDC7"/>
      </x:top>
      <x:bottom style="thin">
        <x:color rgb="FFB8BDC7"/>
      </x:bottom>
    </x:border>
    <x:border>
      <x:left style="thin">
        <x:color rgb="FFB8BDC7"/>
      </x:left>
      <x:right style="thin">
        <x:color rgb="FFB8BDC7"/>
      </x:right>
      <x:top style="thin">
        <x:color rgb="FFB8BDC7"/>
      </x:top>
      <x:bottom style="thin">
        <x:color rgb="FFB8BDC7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2" borderId="2" xfId="0" applyNumberFormat="1" applyFont="1" applyFill="1" applyBorder="1"/>
    <x:xf numFmtId="0" fontId="0" fillId="3" borderId="2" xfId="0" applyNumberFormat="1" applyFont="1" applyFill="1" applyBorder="1"/>
    <x:xf numFmtId="0" fontId="0" fillId="0" borderId="2" xfId="0" applyNumberFormat="1" applyFont="1" applyFill="1" applyBorder="1"/>
    <x:xf numFmtId="0" fontId="0" fillId="4" borderId="2" xfId="0" applyNumberFormat="1" applyFont="1" applyFill="1" applyBorder="1"/>
    <x:xf numFmtId="0" fontId="0" fillId="5" borderId="2" xfId="0" applyNumberFormat="1" applyFont="1" applyFill="1" applyBorder="1"/>
    <x:xf numFmtId="0" fontId="2" fillId="2" borderId="3" xfId="0" applyNumberFormat="1" applyFont="1" applyFill="1" applyBorder="1"/>
    <x:xf numFmtId="0" fontId="0" fillId="3" borderId="3" xfId="0" applyNumberFormat="1" applyFont="1" applyFill="1" applyBorder="1"/>
    <x:xf numFmtId="0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0" fillId="5" borderId="3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2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1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/>
    </x:xf>
    <x:xf numFmtId="0" fontId="2" fillId="8" borderId="3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 vertical="center"/>
    </x:xf>
    <x:xf numFmtId="0" fontId="2" fillId="8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2" fillId="8" borderId="2" xfId="0" applyNumberFormat="1" applyFont="1" applyFill="1" applyBorder="1"/>
    <x:xf numFmtId="0" fontId="0" fillId="9" borderId="2" xfId="0" applyNumberFormat="1" applyFont="1" applyFill="1" applyBorder="1"/>
    <x:xf numFmtId="0" fontId="2" fillId="8" borderId="3" xfId="0" applyNumberFormat="1" applyFont="1" applyFill="1" applyBorder="1"/>
    <x:xf numFmtId="0" fontId="0" fillId="9" borderId="3" xfId="0" applyNumberFormat="1" applyFont="1" applyFill="1" applyBorder="1"/>
    <x:xf numFmtId="0" fontId="2" fillId="8" borderId="2" xfId="0" applyNumberFormat="1" applyFont="1" applyFill="1" applyBorder="1" applyAlignment="1">
      <x:alignment vertical="center"/>
    </x:xf>
    <x:xf numFmtId="0" fontId="0" fillId="9" borderId="2" xfId="0" applyNumberFormat="1" applyFont="1" applyFill="1" applyBorder="1" applyAlignment="1">
      <x:alignment vertical="center"/>
    </x:xf>
    <x:xf numFmtId="0" fontId="2" fillId="8" borderId="3" xfId="0" applyNumberFormat="1" applyFont="1" applyFill="1" applyBorder="1" applyAlignment="1">
      <x:alignment vertical="center"/>
    </x:xf>
    <x:xf numFmtId="0" fontId="0" fillId="9" borderId="3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c74125fd046d3" /><Relationship Type="http://schemas.openxmlformats.org/officeDocument/2006/relationships/theme" Target="/xl/theme/theme1.xml" Id="R2d84c3bd8d374bd8" /><Relationship Type="http://schemas.openxmlformats.org/officeDocument/2006/relationships/sharedStrings" Target="/xl/sharedStrings.xml" Id="Re6cbef9a7c22412e" /><Relationship Type="http://schemas.openxmlformats.org/officeDocument/2006/relationships/worksheet" Target="/xl/worksheets/sheet1.xml" Id="R5b67b5e2ffc34b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030be62ebec4e9f" /><Relationship Type="http://schemas.openxmlformats.org/officeDocument/2006/relationships/image" Target="/xl/media/image2.png" Id="R127d60803c6a40a2" /><Relationship Type="http://schemas.openxmlformats.org/officeDocument/2006/relationships/image" Target="/xl/media/image3.png" Id="R05e1b6ef4b85454f" /><Relationship Type="http://schemas.openxmlformats.org/officeDocument/2006/relationships/image" Target="/xl/media/image4.png" Id="R24cccf57308d4c42" /></Relationships>
</file>

<file path=xl/drawings/drawing1.xml><?xml version="1.0" encoding="utf-8"?>
<xdr:wsDr xmlns:xdr="http://schemas.openxmlformats.org/drawingml/2006/spreadsheetDrawing">
  <xdr:oneCellAnchor>
    <xdr:from>
      <xdr:col>8</xdr:col>
      <xdr:colOff>0</xdr:colOff>
      <xdr:row>5</xdr:row>
      <xdr:rowOff>0</xdr:rowOff>
    </xdr:from>
    <xdr:ext cx="2333625" cy="1047750"/>
    <xdr:pic>
      <xdr:nvPicPr>
        <xdr:cNvPr id="1" name="c43e42c0-cc31-4bde-8ac4-4007af86c1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30be62ebec4e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18</xdr:row>
      <xdr:rowOff>0</xdr:rowOff>
    </xdr:from>
    <xdr:ext cx="2333625" cy="1047750"/>
    <xdr:pic>
      <xdr:nvPicPr>
        <xdr:cNvPr id="2" name="abd64710-9282-4413-a112-b1209d3668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7d60803c6a40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31</xdr:row>
      <xdr:rowOff>0</xdr:rowOff>
    </xdr:from>
    <xdr:ext cx="2333625" cy="1047750"/>
    <xdr:pic>
      <xdr:nvPicPr>
        <xdr:cNvPr id="3" name="31670de1-7391-4fd0-a9c6-eac0436b52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e1b6ef4b8545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0</xdr:colOff>
      <xdr:row>44</xdr:row>
      <xdr:rowOff>0</xdr:rowOff>
    </xdr:from>
    <xdr:ext cx="2333625" cy="1047750"/>
    <xdr:pic>
      <xdr:nvPicPr>
        <xdr:cNvPr id="4" name="16f657ff-15a8-47a1-b59e-0d17c7382a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cccf57308d4c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70acd2442a457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3" max="13" width="12" hidden="0" customWidth="1"/>
    <x:col min="14" max="14" width="18" hidden="0" customWidth="1"/>
  </x:cols>
  <x:sheetData>
    <x:row r="1">
      <x:c r="A1" s="6" t="str">
        <x:v>공정 BATCH 운전 실적 카드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M2" s="26" t="str">
        <x:v>입력/계산 구분</x:v>
      </x:c>
      <x:c r="N2" s="26"/>
    </x:row>
    <x:row r="3">
      <x:c r="M3" s="27" t="str">
        <x:v>파랑</x:v>
      </x:c>
      <x:c r="N3" s="28" t="str">
        <x:v>운전원 입력</x:v>
      </x:c>
    </x:row>
    <x:row r="4">
      <x:c r="A4" s="38" t="str">
        <x:v>BATCH #1  |  B-260818-01</x:v>
      </x:c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M4" s="29" t="str">
        <x:v>회색</x:v>
      </x:c>
      <x:c r="N4" s="28" t="str">
        <x:v>자동 계산</x:v>
      </x:c>
    </x:row>
    <x:row r="5">
      <x:c r="A5" s="44" t="str">
        <x:v>반응기</x:v>
      </x:c>
      <x:c r="B5" s="27" t="str">
        <x:v>R-101</x:v>
      </x:c>
      <x:c r="C5" s="44" t="str">
        <x:v>운전일</x:v>
      </x:c>
      <x:c r="D5" s="27" t="str">
        <x:v>2026-08-18</x:v>
      </x:c>
      <x:c r="E5" s="44" t="str">
        <x:v>시작</x:v>
      </x:c>
      <x:c r="F5" s="27" t="str">
        <x:v>08:10</x:v>
      </x:c>
      <x:c r="G5" s="44" t="str">
        <x:v>종료</x:v>
      </x:c>
      <x:c r="H5" s="27" t="str">
        <x:v>13:40</x:v>
      </x:c>
      <x:c r="M5" s="30" t="str">
        <x:v>빨강</x:v>
      </x:c>
      <x:c r="N5" s="28" t="str">
        <x:v>운전 이상</x:v>
      </x:c>
    </x:row>
    <x:row r="6">
      <x:c r="A6" s="44" t="str">
        <x:v>투입량(kg)</x:v>
      </x:c>
      <x:c r="B6" s="27" t="n">
        <x:v>1000</x:v>
      </x:c>
      <x:c r="C6" s="44" t="str">
        <x:v>생산량(kg)</x:v>
      </x:c>
      <x:c r="D6" s="27" t="n">
        <x:v>945</x:v>
      </x:c>
      <x:c r="E6" s="44" t="str">
        <x:v>압력(bar)</x:v>
      </x:c>
      <x:c r="F6" s="27" t="n">
        <x:v>3.2</x:v>
      </x:c>
      <x:c r="G6" s="44" t="str">
        <x:v>운전원</x:v>
      </x:c>
      <x:c r="H6" s="27" t="str">
        <x:v>홍길동</x:v>
      </x:c>
    </x:row>
    <x:row r="8">
      <x:c r="A8" s="54" t="str">
        <x:v>온도 프로파일 (℃)</x:v>
      </x:c>
      <x:c r="B8" s="54"/>
      <x:c r="C8" s="54"/>
      <x:c r="D8" s="54" t="str">
        <x:v>초기</x:v>
      </x:c>
      <x:c r="E8" s="54" t="str">
        <x:v>중간</x:v>
      </x:c>
      <x:c r="F8" s="54" t="str">
        <x:v>종료</x:v>
      </x:c>
    </x:row>
    <x:row r="9">
      <x:c r="A9" s="28" t="str">
        <x:v>측정값</x:v>
      </x:c>
      <x:c r="B9" s="28"/>
      <x:c r="C9" s="28"/>
      <x:c r="D9" s="27" t="n">
        <x:v>74.5</x:v>
      </x:c>
      <x:c r="E9" s="27" t="n">
        <x:v>76</x:v>
      </x:c>
      <x:c r="F9" s="27" t="n">
        <x:v>75.2</x:v>
      </x:c>
    </x:row>
    <x:row r="11">
      <x:c r="A11" s="62" t="str">
        <x:v>계산항목</x:v>
      </x:c>
      <x:c r="B11" s="62" t="str">
        <x:v>값</x:v>
      </x:c>
      <x:c r="C11" s="62" t="str">
        <x:v>단위</x:v>
      </x:c>
      <x:c r="D11" s="62" t="str">
        <x:v>기준</x:v>
      </x:c>
      <x:c r="E11" s="62" t="str">
        <x:v>판정</x:v>
      </x:c>
      <x:c r="F11" s="62"/>
    </x:row>
    <x:row r="12">
      <x:c r="A12" s="28" t="str">
        <x:v>수율</x:v>
      </x:c>
      <x:c r="B12" s="29" t="n">
        <x:f>D6/B6*100</x:f>
        <x:v>94.5</x:v>
      </x:c>
      <x:c r="C12" s="28" t="str">
        <x:v>%</x:v>
      </x:c>
      <x:c r="D12" s="28" t="str">
        <x:v>≥ 92</x:v>
      </x:c>
      <x:c r="E12" s="63" t="str">
        <x:f>IF(B12&gt;=92,"정상","이상")</x:f>
        <x:v>정상</x:v>
      </x:c>
      <x:c r="F12" s="63"/>
    </x:row>
    <x:row r="13">
      <x:c r="A13" s="28" t="str">
        <x:v>평균온도</x:v>
      </x:c>
      <x:c r="B13" s="29" t="n">
        <x:f>AVERAGE(D9:F9)</x:f>
        <x:v>75.23333333333333</x:v>
      </x:c>
      <x:c r="C13" s="28" t="str">
        <x:v>℃</x:v>
      </x:c>
      <x:c r="D13" s="28" t="str">
        <x:v>70~80</x:v>
      </x:c>
      <x:c r="E13" s="63" t="str">
        <x:f>IF(AND(B13&gt;=70,B13&lt;=80),"정상","이상")</x:f>
        <x:v>정상</x:v>
      </x:c>
      <x:c r="F13" s="63"/>
    </x:row>
    <x:row r="14">
      <x:c r="A14" s="70" t="str">
        <x:v>운전 메모: 특이사항 없음</x:v>
      </x:c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</x:row>
    <x:row r="15">
      <x:c r="A15" s="70"/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</x:row>
    <x:row r="17">
      <x:c r="A17" s="38" t="str">
        <x:v>BATCH #2  |  B-260818-02</x:v>
      </x:c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</x:row>
    <x:row r="18">
      <x:c r="A18" s="44" t="str">
        <x:v>반응기</x:v>
      </x:c>
      <x:c r="B18" s="27" t="str">
        <x:v>R-101</x:v>
      </x:c>
      <x:c r="C18" s="44" t="str">
        <x:v>운전일</x:v>
      </x:c>
      <x:c r="D18" s="27" t="str">
        <x:v>2026-08-18</x:v>
      </x:c>
      <x:c r="E18" s="44" t="str">
        <x:v>시작</x:v>
      </x:c>
      <x:c r="F18" s="27" t="str">
        <x:v>14:20</x:v>
      </x:c>
      <x:c r="G18" s="44" t="str">
        <x:v>종료</x:v>
      </x:c>
      <x:c r="H18" s="27" t="str">
        <x:v>20:10</x:v>
      </x:c>
    </x:row>
    <x:row r="19">
      <x:c r="A19" s="44" t="str">
        <x:v>투입량(kg)</x:v>
      </x:c>
      <x:c r="B19" s="27" t="n">
        <x:v>980</x:v>
      </x:c>
      <x:c r="C19" s="44" t="str">
        <x:v>생산량(kg)</x:v>
      </x:c>
      <x:c r="D19" s="27" t="n">
        <x:v>885</x:v>
      </x:c>
      <x:c r="E19" s="44" t="str">
        <x:v>압력(bar)</x:v>
      </x:c>
      <x:c r="F19" s="27" t="n">
        <x:v>3.4</x:v>
      </x:c>
      <x:c r="G19" s="44" t="str">
        <x:v>운전원</x:v>
      </x:c>
      <x:c r="H19" s="27" t="str">
        <x:v>홍길동</x:v>
      </x:c>
    </x:row>
    <x:row r="21">
      <x:c r="A21" s="54" t="str">
        <x:v>온도 프로파일 (℃)</x:v>
      </x:c>
      <x:c r="B21" s="54"/>
      <x:c r="C21" s="54"/>
      <x:c r="D21" s="54" t="str">
        <x:v>초기</x:v>
      </x:c>
      <x:c r="E21" s="54" t="str">
        <x:v>중간</x:v>
      </x:c>
      <x:c r="F21" s="54" t="str">
        <x:v>종료</x:v>
      </x:c>
    </x:row>
    <x:row r="22">
      <x:c r="A22" s="28" t="str">
        <x:v>측정값</x:v>
      </x:c>
      <x:c r="B22" s="28"/>
      <x:c r="C22" s="28"/>
      <x:c r="D22" s="27" t="n">
        <x:v>78</x:v>
      </x:c>
      <x:c r="E22" s="27" t="n">
        <x:v>81.5</x:v>
      </x:c>
      <x:c r="F22" s="27" t="n">
        <x:v>79.8</x:v>
      </x:c>
    </x:row>
    <x:row r="24">
      <x:c r="A24" s="62" t="str">
        <x:v>계산항목</x:v>
      </x:c>
      <x:c r="B24" s="62" t="str">
        <x:v>값</x:v>
      </x:c>
      <x:c r="C24" s="62" t="str">
        <x:v>단위</x:v>
      </x:c>
      <x:c r="D24" s="62" t="str">
        <x:v>기준</x:v>
      </x:c>
      <x:c r="E24" s="62" t="str">
        <x:v>판정</x:v>
      </x:c>
      <x:c r="F24" s="62"/>
    </x:row>
    <x:row r="25">
      <x:c r="A25" s="28" t="str">
        <x:v>수율</x:v>
      </x:c>
      <x:c r="B25" s="29" t="n">
        <x:f>D19/B19*100</x:f>
        <x:v>90.3061224489796</x:v>
      </x:c>
      <x:c r="C25" s="28" t="str">
        <x:v>%</x:v>
      </x:c>
      <x:c r="D25" s="28" t="str">
        <x:v>≥ 92</x:v>
      </x:c>
      <x:c r="E25" s="30" t="str">
        <x:f>IF(B25&gt;=92,"정상","이상")</x:f>
        <x:v>이상</x:v>
      </x:c>
      <x:c r="F25" s="30"/>
    </x:row>
    <x:row r="26">
      <x:c r="A26" s="28" t="str">
        <x:v>평균온도</x:v>
      </x:c>
      <x:c r="B26" s="29" t="n">
        <x:f>AVERAGE(D22:F22)</x:f>
        <x:v>79.76666666666667</x:v>
      </x:c>
      <x:c r="C26" s="28" t="str">
        <x:v>℃</x:v>
      </x:c>
      <x:c r="D26" s="28" t="str">
        <x:v>70~80</x:v>
      </x:c>
      <x:c r="E26" s="63" t="str">
        <x:f>IF(AND(B26&gt;=70,B26&lt;=80),"정상","이상")</x:f>
        <x:v>정상</x:v>
      </x:c>
      <x:c r="F26" s="63"/>
    </x:row>
    <x:row r="27">
      <x:c r="A27" s="70" t="str">
        <x:v>운전 메모: 중간 온도 상승으로 냉각수 추가 조정</x:v>
      </x:c>
      <x:c r="B27" s="70"/>
      <x:c r="C27" s="70"/>
      <x:c r="D27" s="70"/>
      <x:c r="E27" s="70"/>
      <x:c r="F27" s="70"/>
      <x:c r="G27" s="70"/>
      <x:c r="H27" s="70"/>
      <x:c r="I27" s="70"/>
      <x:c r="J27" s="70"/>
      <x:c r="K27" s="70"/>
    </x:row>
    <x:row r="28">
      <x:c r="A28" s="70"/>
      <x:c r="B28" s="70"/>
      <x:c r="C28" s="70"/>
      <x:c r="D28" s="70"/>
      <x:c r="E28" s="70"/>
      <x:c r="F28" s="70"/>
      <x:c r="G28" s="70"/>
      <x:c r="H28" s="70"/>
      <x:c r="I28" s="70"/>
      <x:c r="J28" s="70"/>
      <x:c r="K28" s="70"/>
    </x:row>
    <x:row r="30">
      <x:c r="A30" s="38" t="str">
        <x:v>BATCH #3  |  B-260819-01</x:v>
      </x:c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</x:row>
    <x:row r="31">
      <x:c r="A31" s="44" t="str">
        <x:v>반응기</x:v>
      </x:c>
      <x:c r="B31" s="27" t="str">
        <x:v>R-102</x:v>
      </x:c>
      <x:c r="C31" s="44" t="str">
        <x:v>운전일</x:v>
      </x:c>
      <x:c r="D31" s="27" t="str">
        <x:v>2026-08-19</x:v>
      </x:c>
      <x:c r="E31" s="44" t="str">
        <x:v>시작</x:v>
      </x:c>
      <x:c r="F31" s="27" t="str">
        <x:v>07:55</x:v>
      </x:c>
      <x:c r="G31" s="44" t="str">
        <x:v>종료</x:v>
      </x:c>
      <x:c r="H31" s="27" t="str">
        <x:v>13:25</x:v>
      </x:c>
    </x:row>
    <x:row r="32">
      <x:c r="A32" s="44" t="str">
        <x:v>투입량(kg)</x:v>
      </x:c>
      <x:c r="B32" s="27" t="n">
        <x:v>1020</x:v>
      </x:c>
      <x:c r="C32" s="44" t="str">
        <x:v>생산량(kg)</x:v>
      </x:c>
      <x:c r="D32" s="27" t="n">
        <x:v>960</x:v>
      </x:c>
      <x:c r="E32" s="44" t="str">
        <x:v>압력(bar)</x:v>
      </x:c>
      <x:c r="F32" s="27" t="n">
        <x:v>3.1</x:v>
      </x:c>
      <x:c r="G32" s="44" t="str">
        <x:v>운전원</x:v>
      </x:c>
      <x:c r="H32" s="27" t="str">
        <x:v>홍길동</x:v>
      </x:c>
    </x:row>
    <x:row r="34">
      <x:c r="A34" s="54" t="str">
        <x:v>온도 프로파일 (℃)</x:v>
      </x:c>
      <x:c r="B34" s="54"/>
      <x:c r="C34" s="54"/>
      <x:c r="D34" s="54" t="str">
        <x:v>초기</x:v>
      </x:c>
      <x:c r="E34" s="54" t="str">
        <x:v>중간</x:v>
      </x:c>
      <x:c r="F34" s="54" t="str">
        <x:v>종료</x:v>
      </x:c>
    </x:row>
    <x:row r="35">
      <x:c r="A35" s="28" t="str">
        <x:v>측정값</x:v>
      </x:c>
      <x:c r="B35" s="28"/>
      <x:c r="C35" s="28"/>
      <x:c r="D35" s="27" t="n">
        <x:v>73.8</x:v>
      </x:c>
      <x:c r="E35" s="27" t="n">
        <x:v>74.4</x:v>
      </x:c>
      <x:c r="F35" s="27" t="n">
        <x:v>75.1</x:v>
      </x:c>
    </x:row>
    <x:row r="37">
      <x:c r="A37" s="62" t="str">
        <x:v>계산항목</x:v>
      </x:c>
      <x:c r="B37" s="62" t="str">
        <x:v>값</x:v>
      </x:c>
      <x:c r="C37" s="62" t="str">
        <x:v>단위</x:v>
      </x:c>
      <x:c r="D37" s="62" t="str">
        <x:v>기준</x:v>
      </x:c>
      <x:c r="E37" s="62" t="str">
        <x:v>판정</x:v>
      </x:c>
      <x:c r="F37" s="62"/>
    </x:row>
    <x:row r="38">
      <x:c r="A38" s="28" t="str">
        <x:v>수율</x:v>
      </x:c>
      <x:c r="B38" s="29" t="n">
        <x:f>D32/B32*100</x:f>
        <x:v>94.11764705882352</x:v>
      </x:c>
      <x:c r="C38" s="28" t="str">
        <x:v>%</x:v>
      </x:c>
      <x:c r="D38" s="28" t="str">
        <x:v>≥ 92</x:v>
      </x:c>
      <x:c r="E38" s="63" t="str">
        <x:f>IF(B38&gt;=92,"정상","이상")</x:f>
        <x:v>정상</x:v>
      </x:c>
      <x:c r="F38" s="63"/>
    </x:row>
    <x:row r="39">
      <x:c r="A39" s="28" t="str">
        <x:v>평균온도</x:v>
      </x:c>
      <x:c r="B39" s="29" t="n">
        <x:f>AVERAGE(D35:F35)</x:f>
        <x:v>74.43333333333332</x:v>
      </x:c>
      <x:c r="C39" s="28" t="str">
        <x:v>℃</x:v>
      </x:c>
      <x:c r="D39" s="28" t="str">
        <x:v>70~80</x:v>
      </x:c>
      <x:c r="E39" s="63" t="str">
        <x:f>IF(AND(B39&gt;=70,B39&lt;=80),"정상","이상")</x:f>
        <x:v>정상</x:v>
      </x:c>
      <x:c r="F39" s="63"/>
    </x:row>
    <x:row r="40">
      <x:c r="A40" s="70" t="str">
        <x:v>운전 메모: 특이사항 없음</x:v>
      </x:c>
      <x:c r="B40" s="70"/>
      <x:c r="C40" s="70"/>
      <x:c r="D40" s="70"/>
      <x:c r="E40" s="70"/>
      <x:c r="F40" s="70"/>
      <x:c r="G40" s="70"/>
      <x:c r="H40" s="70"/>
      <x:c r="I40" s="70"/>
      <x:c r="J40" s="70"/>
      <x:c r="K40" s="70"/>
    </x:row>
    <x:row r="41">
      <x:c r="A41" s="70"/>
      <x:c r="B41" s="70"/>
      <x:c r="C41" s="70"/>
      <x:c r="D41" s="70"/>
      <x:c r="E41" s="70"/>
      <x:c r="F41" s="70"/>
      <x:c r="G41" s="70"/>
      <x:c r="H41" s="70"/>
      <x:c r="I41" s="70"/>
      <x:c r="J41" s="70"/>
      <x:c r="K41" s="70"/>
    </x:row>
    <x:row r="43">
      <x:c r="A43" s="38" t="str">
        <x:v>BATCH #4  |  B-260820-01</x:v>
      </x:c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</x:row>
    <x:row r="44">
      <x:c r="A44" s="44" t="str">
        <x:v>반응기</x:v>
      </x:c>
      <x:c r="B44" s="27" t="str">
        <x:v>R-102</x:v>
      </x:c>
      <x:c r="C44" s="44" t="str">
        <x:v>운전일</x:v>
      </x:c>
      <x:c r="D44" s="27" t="str">
        <x:v>2026-08-20</x:v>
      </x:c>
      <x:c r="E44" s="44" t="str">
        <x:v>시작</x:v>
      </x:c>
      <x:c r="F44" s="27" t="str">
        <x:v>08:30</x:v>
      </x:c>
      <x:c r="G44" s="44" t="str">
        <x:v>종료</x:v>
      </x:c>
      <x:c r="H44" s="27" t="str">
        <x:v>14:15</x:v>
      </x:c>
    </x:row>
    <x:row r="45">
      <x:c r="A45" s="44" t="str">
        <x:v>투입량(kg)</x:v>
      </x:c>
      <x:c r="B45" s="27" t="n">
        <x:v>1010</x:v>
      </x:c>
      <x:c r="C45" s="44" t="str">
        <x:v>생산량(kg)</x:v>
      </x:c>
      <x:c r="D45" s="27" t="n">
        <x:v>930</x:v>
      </x:c>
      <x:c r="E45" s="44" t="str">
        <x:v>압력(bar)</x:v>
      </x:c>
      <x:c r="F45" s="27" t="n">
        <x:v>3.6</x:v>
      </x:c>
      <x:c r="G45" s="44" t="str">
        <x:v>운전원</x:v>
      </x:c>
      <x:c r="H45" s="27" t="str">
        <x:v>홍길동</x:v>
      </x:c>
    </x:row>
    <x:row r="47">
      <x:c r="A47" s="54" t="str">
        <x:v>온도 프로파일 (℃)</x:v>
      </x:c>
      <x:c r="B47" s="54"/>
      <x:c r="C47" s="54"/>
      <x:c r="D47" s="54" t="str">
        <x:v>초기</x:v>
      </x:c>
      <x:c r="E47" s="54" t="str">
        <x:v>중간</x:v>
      </x:c>
      <x:c r="F47" s="54" t="str">
        <x:v>종료</x:v>
      </x:c>
    </x:row>
    <x:row r="48">
      <x:c r="A48" s="28" t="str">
        <x:v>측정값</x:v>
      </x:c>
      <x:c r="B48" s="28"/>
      <x:c r="C48" s="28"/>
      <x:c r="D48" s="27" t="n">
        <x:v>76.2</x:v>
      </x:c>
      <x:c r="E48" s="27" t="n">
        <x:v>77</x:v>
      </x:c>
      <x:c r="F48" s="27" t="n">
        <x:v>76.8</x:v>
      </x:c>
    </x:row>
    <x:row r="50">
      <x:c r="A50" s="62" t="str">
        <x:v>계산항목</x:v>
      </x:c>
      <x:c r="B50" s="62" t="str">
        <x:v>값</x:v>
      </x:c>
      <x:c r="C50" s="62" t="str">
        <x:v>단위</x:v>
      </x:c>
      <x:c r="D50" s="62" t="str">
        <x:v>기준</x:v>
      </x:c>
      <x:c r="E50" s="62" t="str">
        <x:v>판정</x:v>
      </x:c>
      <x:c r="F50" s="62"/>
    </x:row>
    <x:row r="51">
      <x:c r="A51" s="28" t="str">
        <x:v>수율</x:v>
      </x:c>
      <x:c r="B51" s="29" t="n">
        <x:f>D45/B45*100</x:f>
        <x:v>92.07920792079209</x:v>
      </x:c>
      <x:c r="C51" s="28" t="str">
        <x:v>%</x:v>
      </x:c>
      <x:c r="D51" s="28" t="str">
        <x:v>≥ 92</x:v>
      </x:c>
      <x:c r="E51" s="63" t="str">
        <x:f>IF(B51&gt;=92,"정상","이상")</x:f>
        <x:v>정상</x:v>
      </x:c>
      <x:c r="F51" s="63"/>
    </x:row>
    <x:row r="52">
      <x:c r="A52" s="28" t="str">
        <x:v>평균온도</x:v>
      </x:c>
      <x:c r="B52" s="29" t="n">
        <x:f>AVERAGE(D48:F48)</x:f>
        <x:v>76.66666666666667</x:v>
      </x:c>
      <x:c r="C52" s="28" t="str">
        <x:v>℃</x:v>
      </x:c>
      <x:c r="D52" s="28" t="str">
        <x:v>70~80</x:v>
      </x:c>
      <x:c r="E52" s="63" t="str">
        <x:f>IF(AND(B52&gt;=70,B52&lt;=80),"정상","이상")</x:f>
        <x:v>정상</x:v>
      </x:c>
      <x:c r="F52" s="63"/>
    </x:row>
    <x:row r="53">
      <x:c r="A53" s="70" t="str">
        <x:v>운전 메모: 특이사항 없음</x:v>
      </x:c>
      <x:c r="B53" s="70"/>
      <x:c r="C53" s="70"/>
      <x:c r="D53" s="70"/>
      <x:c r="E53" s="70"/>
      <x:c r="F53" s="70"/>
      <x:c r="G53" s="70"/>
      <x:c r="H53" s="70"/>
      <x:c r="I53" s="70"/>
      <x:c r="J53" s="70"/>
      <x:c r="K53" s="70"/>
    </x:row>
    <x:row r="54">
      <x:c r="A54" s="70"/>
      <x:c r="B54" s="70"/>
      <x:c r="C54" s="70"/>
      <x:c r="D54" s="70"/>
      <x:c r="E54" s="70"/>
      <x:c r="F54" s="70"/>
      <x:c r="G54" s="70"/>
      <x:c r="H54" s="70"/>
      <x:c r="I54" s="70"/>
      <x:c r="J54" s="70"/>
      <x:c r="K54" s="70"/>
    </x:row>
  </x:sheetData>
  <x:mergeCells>
    <x:mergeCell ref="A1:K2"/>
    <x:mergeCell ref="M2:N2"/>
    <x:mergeCell ref="A4:K4"/>
    <x:mergeCell ref="A8:C8"/>
    <x:mergeCell ref="A9:C9"/>
    <x:mergeCell ref="E11:F11"/>
    <x:mergeCell ref="E12:F12"/>
    <x:mergeCell ref="E13:F13"/>
    <x:mergeCell ref="A14:K15"/>
    <x:mergeCell ref="A17:K17"/>
    <x:mergeCell ref="A21:C21"/>
    <x:mergeCell ref="A22:C22"/>
    <x:mergeCell ref="E24:F24"/>
    <x:mergeCell ref="E25:F25"/>
    <x:mergeCell ref="E26:F26"/>
    <x:mergeCell ref="A27:K28"/>
    <x:mergeCell ref="A30:K30"/>
    <x:mergeCell ref="A34:C34"/>
    <x:mergeCell ref="A35:C35"/>
    <x:mergeCell ref="E37:F37"/>
    <x:mergeCell ref="E38:F38"/>
    <x:mergeCell ref="E39:F39"/>
    <x:mergeCell ref="A40:K41"/>
    <x:mergeCell ref="A43:K43"/>
    <x:mergeCell ref="A47:C47"/>
    <x:mergeCell ref="A48:C48"/>
    <x:mergeCell ref="E50:F50"/>
    <x:mergeCell ref="E51:F51"/>
    <x:mergeCell ref="E52:F52"/>
    <x:mergeCell ref="A53:K54"/>
  </x:mergeCells>
  <x:pageMargins left="0.7" right="0.7" top="0.75" bottom="0.75" header="0.3" footer="0.3"/>
  <x:drawing xmlns:r="http://schemas.openxmlformats.org/officeDocument/2006/relationships" r:id="Rc970acd2442a457b"/>
</x:worksheet>
</file>