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7325bff07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Performance" sheetId="1" r:id="Rbf6acec8fed541ba"/>
    <x:sheet xmlns:r="http://schemas.openxmlformats.org/officeDocument/2006/relationships" name="Tag_Dictionary" sheetId="2" r:id="R87703c32101d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/>
    <x:xf numFmtId="0" fontId="0" fillId="5" borderId="1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33cc9a6014424" /><Relationship Type="http://schemas.openxmlformats.org/officeDocument/2006/relationships/theme" Target="/xl/theme/theme1.xml" Id="Rf41faa932ece4ab3" /><Relationship Type="http://schemas.openxmlformats.org/officeDocument/2006/relationships/sharedStrings" Target="/xl/sharedStrings.xml" Id="R751f31d94da14a28" /><Relationship Type="http://schemas.openxmlformats.org/officeDocument/2006/relationships/worksheet" Target="/xl/worksheets/sheet1.xml" Id="Rbf6acec8fed541ba" /><Relationship Type="http://schemas.openxmlformats.org/officeDocument/2006/relationships/worksheet" Target="/xl/worksheets/sheet2.xml" Id="R87703c32101d4a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8" hidden="0" customWidth="1"/>
  </x:cols>
  <x:sheetData>
    <x:row r="1">
      <x:c r="A1" s="6" t="str">
        <x:v>MES Batch Performance Export / Polymerization Line 2 / Site-KR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>
      <x:c r="A4" s="34" t="str">
        <x:v>BATCH_KEY</x:v>
      </x:c>
      <x:c r="B4" s="35" t="str">
        <x:v>ASSET_ID</x:v>
      </x:c>
      <x:c r="C4" s="35" t="str">
        <x:v>MAT_DESC</x:v>
      </x:c>
      <x:c r="D4" s="35" t="str">
        <x:v>RECIPE_ID</x:v>
      </x:c>
      <x:c r="E4" s="35" t="str">
        <x:v>AGT_SPD</x:v>
      </x:c>
      <x:c r="F4" s="35" t="str">
        <x:v>RX_TEMP</x:v>
      </x:c>
      <x:c r="G4" s="35" t="str">
        <x:v>RX_PRESS</x:v>
      </x:c>
      <x:c r="H4" s="35" t="str">
        <x:v>QTY_IN</x:v>
      </x:c>
      <x:c r="I4" s="35" t="str">
        <x:v>QTY_OUT</x:v>
      </x:c>
      <x:c r="J4" s="35" t="str">
        <x:v>VISCOSITY</x:v>
      </x:c>
      <x:c r="K4" s="35" t="str">
        <x:v>SOLIDS</x:v>
      </x:c>
      <x:c r="L4" s="35" t="str">
        <x:v>MC</x:v>
      </x:c>
      <x:c r="M4" s="35" t="str">
        <x:v>ENERGY</x:v>
      </x:c>
      <x:c r="N4" s="35" t="str">
        <x:v>REJECT</x:v>
      </x:c>
      <x:c r="O4" s="35" t="str">
        <x:v>YIELD_RATIO</x:v>
      </x:c>
      <x:c r="P4" s="35" t="str">
        <x:v>BATCH_STATE</x:v>
      </x:c>
      <x:c r="Q4" s="35" t="str">
        <x:v>SRC_SYS</x:v>
      </x:c>
      <x:c r="R4" s="36" t="str">
        <x:v>EVENT_TS</x:v>
      </x:c>
    </x:row>
    <x:row r="5">
      <x:c r="A5" s="37" t="str">
        <x:v>text</x:v>
      </x:c>
      <x:c r="B5" s="26" t="str">
        <x:v>text</x:v>
      </x:c>
      <x:c r="C5" s="26" t="str">
        <x:v>text</x:v>
      </x:c>
      <x:c r="D5" s="26" t="str">
        <x:v>text</x:v>
      </x:c>
      <x:c r="E5" s="26" t="str">
        <x:v>rpm</x:v>
      </x:c>
      <x:c r="F5" s="26" t="str">
        <x:v>degC</x:v>
      </x:c>
      <x:c r="G5" s="26" t="str">
        <x:v>kPa</x:v>
      </x:c>
      <x:c r="H5" s="26" t="str">
        <x:v>metric ton</x:v>
      </x:c>
      <x:c r="I5" s="26" t="str">
        <x:v>metric ton</x:v>
      </x:c>
      <x:c r="J5" s="26" t="str">
        <x:v>Pa.s</x:v>
      </x:c>
      <x:c r="K5" s="26" t="str">
        <x:v>mass fraction</x:v>
      </x:c>
      <x:c r="L5" s="26" t="str">
        <x:v>%</x:v>
      </x:c>
      <x:c r="M5" s="26" t="str">
        <x:v>MWh</x:v>
      </x:c>
      <x:c r="N5" s="26" t="str">
        <x:v>pcs</x:v>
      </x:c>
      <x:c r="O5" s="26" t="str">
        <x:v>0~1</x:v>
      </x:c>
      <x:c r="P5" s="26" t="str">
        <x:v>enum</x:v>
      </x:c>
      <x:c r="Q5" s="26" t="str">
        <x:v>text</x:v>
      </x:c>
      <x:c r="R5" s="38" t="str">
        <x:v>timestamp</x:v>
      </x:c>
    </x:row>
    <x:row r="6">
      <x:c r="A6" s="62" t="str">
        <x:v>BT26821</x:v>
      </x:c>
      <x:c r="B6" s="61" t="str">
        <x:v>R-201</x:v>
      </x:c>
      <x:c r="C6" s="61" t="str">
        <x:v>Resin-A</x:v>
      </x:c>
      <x:c r="D6" s="61" t="str">
        <x:v>R44A</x:v>
      </x:c>
      <x:c r="E6" s="61" t="n">
        <x:v>190</x:v>
      </x:c>
      <x:c r="F6" s="63" t="n">
        <x:v>75</x:v>
      </x:c>
      <x:c r="G6" s="63" t="n">
        <x:v>160</x:v>
      </x:c>
      <x:c r="H6" s="63" t="n">
        <x:v>4.8</x:v>
      </x:c>
      <x:c r="I6" s="63" t="n">
        <x:v>4.584</x:v>
      </x:c>
      <x:c r="J6" s="63" t="n">
        <x:v>0.11800000000000001</x:v>
      </x:c>
      <x:c r="K6" s="63" t="n">
        <x:v>0.47</x:v>
      </x:c>
      <x:c r="L6" s="63" t="n">
        <x:v>0.021</x:v>
      </x:c>
      <x:c r="M6" s="63" t="n">
        <x:v>0.67</x:v>
      </x:c>
      <x:c r="N6" s="61" t="n">
        <x:v>0</x:v>
      </x:c>
      <x:c r="O6" s="64" t="n">
        <x:f>I6/H6</x:f>
        <x:v>0.955</x:v>
      </x:c>
      <x:c r="P6" s="61" t="str">
        <x:f>IF(AND(F6&lt;=82,O6&gt;=0.94,N6&lt;=5),"CLOSED_OK","EXCEPTION")</x:f>
        <x:v>CLOSED_OK</x:v>
      </x:c>
      <x:c r="Q6" s="61" t="str">
        <x:v>MES_CORE</x:v>
      </x:c>
      <x:c r="R6" s="65" t="n">
        <x:v>46254.979166666664</x:v>
      </x:c>
    </x:row>
    <x:row r="7">
      <x:c r="A7" s="62" t="str">
        <x:v>BT26822</x:v>
      </x:c>
      <x:c r="B7" s="61" t="str">
        <x:v>R-202</x:v>
      </x:c>
      <x:c r="C7" s="61" t="str">
        <x:v>Catalyst-B</x:v>
      </x:c>
      <x:c r="D7" s="61" t="str">
        <x:v>R44A</x:v>
      </x:c>
      <x:c r="E7" s="61" t="n">
        <x:v>208</x:v>
      </x:c>
      <x:c r="F7" s="63" t="n">
        <x:v>76.3</x:v>
      </x:c>
      <x:c r="G7" s="63" t="n">
        <x:v>168</x:v>
      </x:c>
      <x:c r="H7" s="63" t="n">
        <x:v>4.92</x:v>
      </x:c>
      <x:c r="I7" s="63" t="n">
        <x:v>4.67892</x:v>
      </x:c>
      <x:c r="J7" s="63" t="n">
        <x:v>0.1265</x:v>
      </x:c>
      <x:c r="K7" s="63" t="n">
        <x:v>0.48200000000000004</x:v>
      </x:c>
      <x:c r="L7" s="63" t="n">
        <x:v>0.024</x:v>
      </x:c>
      <x:c r="M7" s="63" t="n">
        <x:v>0.587</x:v>
      </x:c>
      <x:c r="N7" s="61" t="n">
        <x:v>1</x:v>
      </x:c>
      <x:c r="O7" s="64" t="n">
        <x:f>I7/H7</x:f>
        <x:v>0.951</x:v>
      </x:c>
      <x:c r="P7" s="61" t="str">
        <x:f>IF(AND(F7&lt;=82,O7&gt;=0.94,N7&lt;=5),"CLOSED_OK","EXCEPTION")</x:f>
        <x:v>CLOSED_OK</x:v>
      </x:c>
      <x:c r="Q7" s="61" t="str">
        <x:v>MES_CORE</x:v>
      </x:c>
      <x:c r="R7" s="65" t="n">
        <x:v>46255.145833333336</x:v>
      </x:c>
    </x:row>
    <x:row r="8">
      <x:c r="A8" s="62" t="str">
        <x:v>BT26823</x:v>
      </x:c>
      <x:c r="B8" s="61" t="str">
        <x:v>R-203</x:v>
      </x:c>
      <x:c r="C8" s="61" t="str">
        <x:v>Add.17</x:v>
      </x:c>
      <x:c r="D8" s="61" t="str">
        <x:v>R44A</x:v>
      </x:c>
      <x:c r="E8" s="61" t="n">
        <x:v>226</x:v>
      </x:c>
      <x:c r="F8" s="63" t="n">
        <x:v>77.6</x:v>
      </x:c>
      <x:c r="G8" s="63" t="n">
        <x:v>176</x:v>
      </x:c>
      <x:c r="H8" s="63" t="n">
        <x:v>5.04</x:v>
      </x:c>
      <x:c r="I8" s="63" t="n">
        <x:v>4.77288</x:v>
      </x:c>
      <x:c r="J8" s="63" t="n">
        <x:v>0.135</x:v>
      </x:c>
      <x:c r="K8" s="63" t="n">
        <x:v>0.494</x:v>
      </x:c>
      <x:c r="L8" s="63" t="n">
        <x:v>0.018</x:v>
      </x:c>
      <x:c r="M8" s="63" t="n">
        <x:v>0.794</x:v>
      </x:c>
      <x:c r="N8" s="61" t="n">
        <x:v>0</x:v>
      </x:c>
      <x:c r="O8" s="64" t="n">
        <x:f>I8/H8</x:f>
        <x:v>0.947</x:v>
      </x:c>
      <x:c r="P8" s="61" t="str">
        <x:f>IF(AND(F8&lt;=82,O8&gt;=0.94,N8&lt;=5),"CLOSED_OK","EXCEPTION")</x:f>
        <x:v>CLOSED_OK</x:v>
      </x:c>
      <x:c r="Q8" s="61" t="str">
        <x:v>MES_CORE</x:v>
      </x:c>
      <x:c r="R8" s="65" t="n">
        <x:v>46255.3125</x:v>
      </x:c>
    </x:row>
    <x:row r="9">
      <x:c r="A9" s="62" t="str">
        <x:v>BT26824</x:v>
      </x:c>
      <x:c r="B9" s="61" t="str">
        <x:v>R-201</x:v>
      </x:c>
      <x:c r="C9" s="61" t="str">
        <x:v>Resin-A</x:v>
      </x:c>
      <x:c r="D9" s="61" t="str">
        <x:v>R44A</x:v>
      </x:c>
      <x:c r="E9" s="61" t="n">
        <x:v>244</x:v>
      </x:c>
      <x:c r="F9" s="63" t="n">
        <x:v>78.9</x:v>
      </x:c>
      <x:c r="G9" s="63" t="n">
        <x:v>184</x:v>
      </x:c>
      <x:c r="H9" s="63" t="n">
        <x:v>5.16</x:v>
      </x:c>
      <x:c r="I9" s="63" t="n">
        <x:v>4.9278</x:v>
      </x:c>
      <x:c r="J9" s="63" t="n">
        <x:v>0.14350000000000002</x:v>
      </x:c>
      <x:c r="K9" s="63" t="n">
        <x:v>0.506</x:v>
      </x:c>
      <x:c r="L9" s="63" t="n">
        <x:v>0.026</x:v>
      </x:c>
      <x:c r="M9" s="63" t="n">
        <x:v>0.268</x:v>
      </x:c>
      <x:c r="N9" s="61" t="n">
        <x:v>3</x:v>
      </x:c>
      <x:c r="O9" s="64" t="n">
        <x:f>I9/H9</x:f>
        <x:v>0.9550000000000001</x:v>
      </x:c>
      <x:c r="P9" s="61" t="str">
        <x:f>IF(AND(F9&lt;=82,O9&gt;=0.94,N9&lt;=5),"CLOSED_OK","EXCEPTION")</x:f>
        <x:v>CLOSED_OK</x:v>
      </x:c>
      <x:c r="Q9" s="61" t="str">
        <x:v>MES_CORE</x:v>
      </x:c>
      <x:c r="R9" s="65" t="n">
        <x:v>46255.979166666664</x:v>
      </x:c>
    </x:row>
    <x:row r="10">
      <x:c r="A10" s="62" t="str">
        <x:v>BT26825</x:v>
      </x:c>
      <x:c r="B10" s="61" t="str">
        <x:v>R-202</x:v>
      </x:c>
      <x:c r="C10" s="61" t="str">
        <x:v>Catalyst-B</x:v>
      </x:c>
      <x:c r="D10" s="61" t="str">
        <x:v>R44A</x:v>
      </x:c>
      <x:c r="E10" s="61" t="n">
        <x:v>262</x:v>
      </x:c>
      <x:c r="F10" s="63" t="n">
        <x:v>80.2</x:v>
      </x:c>
      <x:c r="G10" s="63" t="n">
        <x:v>192</x:v>
      </x:c>
      <x:c r="H10" s="63" t="n">
        <x:v>5.28</x:v>
      </x:c>
      <x:c r="I10" s="63" t="n">
        <x:v>5.02128</x:v>
      </x:c>
      <x:c r="J10" s="63" t="n">
        <x:v>0.152</x:v>
      </x:c>
      <x:c r="K10" s="63" t="n">
        <x:v>0.47</x:v>
      </x:c>
      <x:c r="L10" s="63" t="n">
        <x:v>0.031</x:v>
      </x:c>
      <x:c r="M10" s="63" t="n">
        <x:v>0.267</x:v>
      </x:c>
      <x:c r="N10" s="61" t="n">
        <x:v>7</x:v>
      </x:c>
      <x:c r="O10" s="64" t="n">
        <x:f>I10/H10</x:f>
        <x:v>0.951</x:v>
      </x:c>
      <x:c r="P10" s="61" t="str">
        <x:f>IF(AND(F10&lt;=82,O10&gt;=0.94,N10&lt;=5),"CLOSED_OK","EXCEPTION")</x:f>
        <x:v>EXCEPTION</x:v>
      </x:c>
      <x:c r="Q10" s="61" t="str">
        <x:v>MES_CORE</x:v>
      </x:c>
      <x:c r="R10" s="65" t="n">
        <x:v>46256.145833333336</x:v>
      </x:c>
    </x:row>
    <x:row r="11">
      <x:c r="A11" s="62" t="str">
        <x:v>BT26826</x:v>
      </x:c>
      <x:c r="B11" s="61" t="str">
        <x:v>R-203</x:v>
      </x:c>
      <x:c r="C11" s="61" t="str">
        <x:v>Add.17</x:v>
      </x:c>
      <x:c r="D11" s="61" t="str">
        <x:v>R44A</x:v>
      </x:c>
      <x:c r="E11" s="61" t="n">
        <x:v>190</x:v>
      </x:c>
      <x:c r="F11" s="63" t="n">
        <x:v>81.5</x:v>
      </x:c>
      <x:c r="G11" s="63" t="n">
        <x:v>200</x:v>
      </x:c>
      <x:c r="H11" s="63" t="n">
        <x:v>5.4</x:v>
      </x:c>
      <x:c r="I11" s="63" t="n">
        <x:v>5.1138</x:v>
      </x:c>
      <x:c r="J11" s="63" t="n">
        <x:v>0.1605</x:v>
      </x:c>
      <x:c r="K11" s="63" t="n">
        <x:v>0.48200000000000004</x:v>
      </x:c>
      <x:c r="L11" s="63" t="n">
        <x:v>0.015</x:v>
      </x:c>
      <x:c r="M11" s="63" t="n">
        <x:v>0.367</x:v>
      </x:c>
      <x:c r="N11" s="61" t="n">
        <x:v>0</x:v>
      </x:c>
      <x:c r="O11" s="64" t="n">
        <x:f>I11/H11</x:f>
        <x:v>0.947</x:v>
      </x:c>
      <x:c r="P11" s="61" t="str">
        <x:f>IF(AND(F11&lt;=82,O11&gt;=0.94,N11&lt;=5),"CLOSED_OK","EXCEPTION")</x:f>
        <x:v>CLOSED_OK</x:v>
      </x:c>
      <x:c r="Q11" s="61" t="str">
        <x:v>MES_CORE</x:v>
      </x:c>
      <x:c r="R11" s="65" t="n">
        <x:v>46256.3125</x:v>
      </x:c>
    </x:row>
    <x:row r="12">
      <x:c r="A12" s="62" t="str">
        <x:v>BT26827</x:v>
      </x:c>
      <x:c r="B12" s="61" t="str">
        <x:v>R-201</x:v>
      </x:c>
      <x:c r="C12" s="61" t="str">
        <x:v>Resin-A</x:v>
      </x:c>
      <x:c r="D12" s="61" t="str">
        <x:v>R44A</x:v>
      </x:c>
      <x:c r="E12" s="61" t="n">
        <x:v>208</x:v>
      </x:c>
      <x:c r="F12" s="63" t="n">
        <x:v>82.8</x:v>
      </x:c>
      <x:c r="G12" s="63" t="n">
        <x:v>208</x:v>
      </x:c>
      <x:c r="H12" s="63" t="n">
        <x:v>5.52</x:v>
      </x:c>
      <x:c r="I12" s="63" t="n">
        <x:v>5.2716</x:v>
      </x:c>
      <x:c r="J12" s="63" t="n">
        <x:v>0.169</x:v>
      </x:c>
      <x:c r="K12" s="63" t="n">
        <x:v>0.494</x:v>
      </x:c>
      <x:c r="L12" s="63" t="n">
        <x:v>0.0275</x:v>
      </x:c>
      <x:c r="M12" s="63" t="n">
        <x:v>0.455</x:v>
      </x:c>
      <x:c r="N12" s="61" t="n">
        <x:v>2</x:v>
      </x:c>
      <x:c r="O12" s="64" t="n">
        <x:f>I12/H12</x:f>
        <x:v>0.9550000000000001</x:v>
      </x:c>
      <x:c r="P12" s="61" t="str">
        <x:f>IF(AND(F12&lt;=82,O12&gt;=0.94,N12&lt;=5),"CLOSED_OK","EXCEPTION")</x:f>
        <x:v>EXCEPTION</x:v>
      </x:c>
      <x:c r="Q12" s="61" t="str">
        <x:v>MES_CORE</x:v>
      </x:c>
      <x:c r="R12" s="65" t="n">
        <x:v>46256.979166666664</x:v>
      </x:c>
    </x:row>
    <x:row r="13">
      <x:c r="A13" s="66" t="str">
        <x:v>BT26828</x:v>
      </x:c>
      <x:c r="B13" s="67" t="str">
        <x:v>R-202</x:v>
      </x:c>
      <x:c r="C13" s="67" t="str">
        <x:v>Catalyst-B</x:v>
      </x:c>
      <x:c r="D13" s="67" t="str">
        <x:v>R44A</x:v>
      </x:c>
      <x:c r="E13" s="67" t="n">
        <x:v>226</x:v>
      </x:c>
      <x:c r="F13" s="68" t="n">
        <x:v>84.1</x:v>
      </x:c>
      <x:c r="G13" s="68" t="n">
        <x:v>216</x:v>
      </x:c>
      <x:c r="H13" s="68" t="n">
        <x:v>5.64</x:v>
      </x:c>
      <x:c r="I13" s="68" t="n">
        <x:v>5.36364</x:v>
      </x:c>
      <x:c r="J13" s="68" t="n">
        <x:v>0.1775</x:v>
      </x:c>
      <x:c r="K13" s="68" t="n">
        <x:v>0.506</x:v>
      </x:c>
      <x:c r="L13" s="68" t="n">
        <x:v>0.022</x:v>
      </x:c>
      <x:c r="M13" s="68" t="n">
        <x:v>0.612</x:v>
      </x:c>
      <x:c r="N13" s="67" t="n">
        <x:v>4</x:v>
      </x:c>
      <x:c r="O13" s="69" t="n">
        <x:f>I13/H13</x:f>
        <x:v>0.9510000000000001</x:v>
      </x:c>
      <x:c r="P13" s="67" t="str">
        <x:f>IF(AND(F13&lt;=82,O13&gt;=0.94,N13&lt;=5),"CLOSED_OK","EXCEPTION")</x:f>
        <x:v>EXCEPTION</x:v>
      </x:c>
      <x:c r="Q13" s="67" t="str">
        <x:v>MES_CORE</x:v>
      </x:c>
      <x:c r="R13" s="70" t="n">
        <x:v>46257.145833333336</x:v>
      </x:c>
    </x:row>
  </x:sheetData>
  <x:mergeCells>
    <x:mergeCell ref="A1:R2"/>
  </x:mergeCells>
  <x:conditionalFormatting sqref="P6:P13">
    <x:cfRule type="expression" dxfId="0" priority="1">
      <x:formula>P6="EXCEPTION"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34" t="str">
        <x:v>TAG/COLUMN</x:v>
      </x:c>
      <x:c r="B1" s="35" t="str">
        <x:v>MES Meaning</x:v>
      </x:c>
      <x:c r="C1" s="35" t="str">
        <x:v>Unit</x:v>
      </x:c>
      <x:c r="D1" s="35" t="str">
        <x:v>Typical Alias</x:v>
      </x:c>
      <x:c r="E1" s="35" t="str">
        <x:v>Conversion to canonical</x:v>
      </x:c>
      <x:c r="F1" s="36" t="str">
        <x:v>Note</x:v>
      </x:c>
    </x:row>
    <x:row r="2">
      <x:c r="A2" s="39" t="str">
        <x:v>BATCH_KEY</x:v>
      </x:c>
      <x:c r="B2" s="40" t="str">
        <x:v>Batch identifier</x:v>
      </x:c>
      <x:c r="C2" s="40" t="str">
        <x:v>-</x:v>
      </x:c>
      <x:c r="D2" s="40" t="str">
        <x:v>LOT / Batch No.</x:v>
      </x:c>
      <x:c r="E2" s="40" t="str">
        <x:v>identity</x:v>
      </x:c>
      <x:c r="F2" s="41" t="str">
        <x:v>key</x:v>
      </x:c>
    </x:row>
    <x:row r="3">
      <x:c r="A3" s="39" t="str">
        <x:v>RX_TEMP</x:v>
      </x:c>
      <x:c r="B3" s="40" t="str">
        <x:v>Reactor vessel temperature</x:v>
      </x:c>
      <x:c r="C3" s="40" t="str">
        <x:v>degC</x:v>
      </x:c>
      <x:c r="D3" s="40" t="str">
        <x:v>T-Reactor / 중합온도</x:v>
      </x:c>
      <x:c r="E3" s="40" t="str">
        <x:v>°C = degC</x:v>
      </x:c>
      <x:c r="F3" s="41" t="str">
        <x:v>PV</x:v>
      </x:c>
    </x:row>
    <x:row r="4">
      <x:c r="A4" s="39" t="str">
        <x:v>RX_PRESS</x:v>
      </x:c>
      <x:c r="B4" s="40" t="str">
        <x:v>Reactor pressure</x:v>
      </x:c>
      <x:c r="C4" s="40" t="str">
        <x:v>kPa</x:v>
      </x:c>
      <x:c r="D4" s="40" t="str">
        <x:v>P / Pressure</x:v>
      </x:c>
      <x:c r="E4" s="40" t="str">
        <x:v>bar = kPa / 100</x:v>
      </x:c>
      <x:c r="F4" s="41" t="str">
        <x:v>gauge</x:v>
      </x:c>
    </x:row>
    <x:row r="5">
      <x:c r="A5" s="39" t="str">
        <x:v>QTY_IN</x:v>
      </x:c>
      <x:c r="B5" s="40" t="str">
        <x:v>Input material mass</x:v>
      </x:c>
      <x:c r="C5" s="40" t="str">
        <x:v>metric ton</x:v>
      </x:c>
      <x:c r="D5" s="40" t="str">
        <x:v>Input Qty / 투입량</x:v>
      </x:c>
      <x:c r="E5" s="40" t="str">
        <x:v>kg = ton × 1000</x:v>
      </x:c>
      <x:c r="F5" s="41" t="str">
        <x:v>batch</x:v>
      </x:c>
    </x:row>
    <x:row r="6">
      <x:c r="A6" s="39" t="str">
        <x:v>QTY_OUT</x:v>
      </x:c>
      <x:c r="B6" s="40" t="str">
        <x:v>Product mass</x:v>
      </x:c>
      <x:c r="C6" s="40" t="str">
        <x:v>metric ton</x:v>
      </x:c>
      <x:c r="D6" s="40" t="str">
        <x:v>Output Qty / 산출량</x:v>
      </x:c>
      <x:c r="E6" s="40" t="str">
        <x:v>kg = ton × 1000</x:v>
      </x:c>
      <x:c r="F6" s="41" t="str">
        <x:v>batch</x:v>
      </x:c>
    </x:row>
    <x:row r="7">
      <x:c r="A7" s="39" t="str">
        <x:v>VISCOSITY</x:v>
      </x:c>
      <x:c r="B7" s="40" t="str">
        <x:v>Dynamic viscosity</x:v>
      </x:c>
      <x:c r="C7" s="40" t="str">
        <x:v>Pa.s</x:v>
      </x:c>
      <x:c r="D7" s="40" t="str">
        <x:v>η / Visc.</x:v>
      </x:c>
      <x:c r="E7" s="40" t="str">
        <x:v>cP = Pa.s × 1000</x:v>
      </x:c>
      <x:c r="F7" s="41" t="str">
        <x:v>25°C</x:v>
      </x:c>
    </x:row>
    <x:row r="8">
      <x:c r="A8" s="39" t="str">
        <x:v>SOLIDS</x:v>
      </x:c>
      <x:c r="B8" s="40" t="str">
        <x:v>Solid content</x:v>
      </x:c>
      <x:c r="C8" s="40" t="str">
        <x:v>mass fraction</x:v>
      </x:c>
      <x:c r="D8" s="40" t="str">
        <x:v>고형분 / Solid</x:v>
      </x:c>
      <x:c r="E8" s="40" t="str">
        <x:v>wt% = fraction × 100</x:v>
      </x:c>
      <x:c r="F8" s="41" t="str">
        <x:v>lab</x:v>
      </x:c>
    </x:row>
    <x:row r="9">
      <x:c r="A9" s="39" t="str">
        <x:v>MC</x:v>
      </x:c>
      <x:c r="B9" s="40" t="str">
        <x:v>Moisture content</x:v>
      </x:c>
      <x:c r="C9" s="40" t="str">
        <x:v>%</x:v>
      </x:c>
      <x:c r="D9" s="40" t="str">
        <x:v>Moist. / 수분</x:v>
      </x:c>
      <x:c r="E9" s="40" t="str">
        <x:v>ppm = % × 10000</x:v>
      </x:c>
      <x:c r="F9" s="41" t="str">
        <x:v>lab</x:v>
      </x:c>
    </x:row>
    <x:row r="10">
      <x:c r="A10" s="39" t="str">
        <x:v>ENERGY</x:v>
      </x:c>
      <x:c r="B10" s="40" t="str">
        <x:v>Electrical energy</x:v>
      </x:c>
      <x:c r="C10" s="40" t="str">
        <x:v>MWh</x:v>
      </x:c>
      <x:c r="D10" s="40" t="str">
        <x:v>Power Use / 사용전력</x:v>
      </x:c>
      <x:c r="E10" s="40" t="str">
        <x:v>kWh = MWh × 1000</x:v>
      </x:c>
      <x:c r="F10" s="41" t="str">
        <x:v>batch</x:v>
      </x:c>
    </x:row>
    <x:row r="11">
      <x:c r="A11" s="39" t="str">
        <x:v>REJECT</x:v>
      </x:c>
      <x:c r="B11" s="40" t="str">
        <x:v>Reject count</x:v>
      </x:c>
      <x:c r="C11" s="40" t="str">
        <x:v>pcs</x:v>
      </x:c>
      <x:c r="D11" s="40" t="str">
        <x:v>NG / 불량수</x:v>
      </x:c>
      <x:c r="E11" s="40" t="str">
        <x:v>EA = pcs</x:v>
      </x:c>
      <x:c r="F11" s="41" t="str">
        <x:v>batch</x:v>
      </x:c>
    </x:row>
    <x:row r="12">
      <x:c r="A12" s="42" t="str">
        <x:v>YIELD_RATIO</x:v>
      </x:c>
      <x:c r="B12" s="43" t="str">
        <x:v>Yield ratio</x:v>
      </x:c>
      <x:c r="C12" s="43" t="str">
        <x:v>0~1</x:v>
      </x:c>
      <x:c r="D12" s="43" t="str">
        <x:v>Yield / 수율</x:v>
      </x:c>
      <x:c r="E12" s="43" t="str">
        <x:v>% = ratio × 100</x:v>
      </x:c>
      <x:c r="F12" s="45" t="str">
        <x:v>formula</x:v>
      </x:c>
    </x:row>
  </x:sheetData>
  <x:pageMargins left="0.7" right="0.7" top="0.75" bottom="0.75" header="0.3" footer="0.3"/>
</x:worksheet>
</file>